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skareide/Desktop/"/>
    </mc:Choice>
  </mc:AlternateContent>
  <xr:revisionPtr revIDLastSave="0" documentId="8_{A12E6693-6C1F-094A-9C4A-AC6EFF982362}" xr6:coauthVersionLast="47" xr6:coauthVersionMax="47" xr10:uidLastSave="{00000000-0000-0000-0000-000000000000}"/>
  <bookViews>
    <workbookView xWindow="0" yWindow="680" windowWidth="28800" windowHeight="16920" xr2:uid="{00000000-000D-0000-FFFF-FFFF00000000}"/>
  </bookViews>
  <sheets>
    <sheet name="Sheet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9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0" i="1"/>
</calcChain>
</file>

<file path=xl/sharedStrings.xml><?xml version="1.0" encoding="utf-8"?>
<sst xmlns="http://schemas.openxmlformats.org/spreadsheetml/2006/main" count="101" uniqueCount="16">
  <si>
    <t>Selections:</t>
  </si>
  <si>
    <t>Material:   11303641 - GRAN 48X098 K-VIRKE C24, 25410978 - FURU 28X120 CUIMP TERRASSE KL1, 43845037 - TERRASSESKR CLASSIC UTV 4,2X55, 54096174 - TRESKRUE ESSDRIVE UTV SH 5X90 | Store:   B330 - BM Gravdal</t>
  </si>
  <si>
    <t>Title:</t>
  </si>
  <si>
    <t>Customreport</t>
  </si>
  <si>
    <t/>
  </si>
  <si>
    <t>FURU 28X120 CUIMP TERRASSE KL1</t>
  </si>
  <si>
    <t>GRAN 48X098 K-VIRKE C24</t>
  </si>
  <si>
    <t>TERRASSESKR CLASSIC UTV 4,2X55</t>
  </si>
  <si>
    <t>TRESKRUE ESSDRIVE UTV SH 5X90</t>
  </si>
  <si>
    <t>RM</t>
  </si>
  <si>
    <t>PAK</t>
  </si>
  <si>
    <t>Quantity</t>
  </si>
  <si>
    <t>Cost price actual</t>
  </si>
  <si>
    <t>-</t>
  </si>
  <si>
    <t>202618A79:HA23:I125</t>
  </si>
  <si>
    <t>kostpris pr enhet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</si>
</sst>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5" x14ac:knownFonts="1">
    <font>
      <sz val="11"/>
      <color theme="1"/>
      <name val="Calibri"/>
      <family val="2"/>
      <scheme val="minor"/>
    </font>
    <font>
      <b/>
      <i/>
      <sz val="11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59595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6E6E6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E6E6E6"/>
      </top>
      <bottom/>
      <diagonal/>
    </border>
    <border>
      <left style="thin">
        <color rgb="FFE6E6E6"/>
      </left>
      <right/>
      <top style="thin">
        <color rgb="FFE6E6E6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left" vertical="top"/>
    </xf>
    <xf numFmtId="3" fontId="2" fillId="2" borderId="4" xfId="0" applyNumberFormat="1" applyFont="1" applyFill="1" applyBorder="1" applyAlignment="1">
      <alignment horizontal="right" vertical="top"/>
    </xf>
    <xf numFmtId="3" fontId="2" fillId="2" borderId="4" xfId="0" applyNumberFormat="1" applyFont="1" applyFill="1" applyBorder="1" applyAlignment="1">
      <alignment vertical="top"/>
    </xf>
    <xf numFmtId="0" fontId="3" fillId="2" borderId="5" xfId="0" applyFont="1" applyFill="1" applyBorder="1"/>
    <xf numFmtId="0" fontId="1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vertical="top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tabSelected="1" topLeftCell="A50" zoomScale="59" workbookViewId="0">
      <selection activeCell="B7" sqref="B7:C7"/>
    </sheetView>
  </sheetViews>
  <sheetFormatPr baseColWidth="10" defaultColWidth="9.1640625" defaultRowHeight="15" x14ac:dyDescent="0.2"/>
  <cols>
    <col min="1" max="1" width="29.5" customWidth="1"/>
    <col min="2" max="13" width="32.5" customWidth="1"/>
  </cols>
  <sheetData>
    <row r="1" spans="1:13" ht="20.25" customHeight="1" x14ac:dyDescent="0.2">
      <c r="A1" s="6" t="s">
        <v>0</v>
      </c>
      <c r="B1" s="18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3" ht="20.25" customHeight="1" x14ac:dyDescent="0.2">
      <c r="A2" s="6" t="s">
        <v>2</v>
      </c>
      <c r="B2" s="18" t="s">
        <v>3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3" ht="20.25" customHeight="1" x14ac:dyDescent="0.2">
      <c r="A3" s="6"/>
    </row>
    <row r="4" spans="1:13" ht="23.5" customHeight="1" x14ac:dyDescent="0.2">
      <c r="A4" s="1"/>
      <c r="B4" s="10" t="s">
        <v>4</v>
      </c>
      <c r="C4" s="10" t="s">
        <v>4</v>
      </c>
      <c r="D4" s="10"/>
      <c r="E4" s="10" t="s">
        <v>4</v>
      </c>
      <c r="F4" s="11" t="s">
        <v>4</v>
      </c>
      <c r="G4" s="10"/>
      <c r="H4" s="10" t="s">
        <v>4</v>
      </c>
      <c r="I4" s="10" t="s">
        <v>4</v>
      </c>
      <c r="J4" s="10"/>
      <c r="K4" s="10" t="s">
        <v>4</v>
      </c>
      <c r="L4" s="12" t="s">
        <v>4</v>
      </c>
      <c r="M4" s="7"/>
    </row>
    <row r="5" spans="1:13" ht="23.5" customHeight="1" x14ac:dyDescent="0.2">
      <c r="A5" s="9"/>
      <c r="B5" s="16" t="s">
        <v>5</v>
      </c>
      <c r="C5" s="16"/>
      <c r="D5" s="16"/>
      <c r="E5" s="16" t="s">
        <v>6</v>
      </c>
      <c r="F5" s="16"/>
      <c r="G5" s="16"/>
      <c r="H5" s="16" t="s">
        <v>7</v>
      </c>
      <c r="I5" s="16"/>
      <c r="J5" s="16"/>
      <c r="K5" s="16" t="s">
        <v>8</v>
      </c>
      <c r="L5" s="16"/>
      <c r="M5" s="16"/>
    </row>
    <row r="6" spans="1:13" ht="23.5" customHeight="1" x14ac:dyDescent="0.2">
      <c r="A6" s="9"/>
      <c r="B6" s="16" t="s">
        <v>9</v>
      </c>
      <c r="C6" s="16" t="s">
        <v>9</v>
      </c>
      <c r="D6" s="14"/>
      <c r="E6" s="16" t="s">
        <v>9</v>
      </c>
      <c r="F6" s="16" t="s">
        <v>9</v>
      </c>
      <c r="G6" s="14"/>
      <c r="H6" s="16" t="s">
        <v>10</v>
      </c>
      <c r="I6" s="16" t="s">
        <v>10</v>
      </c>
      <c r="J6" s="14"/>
      <c r="K6" s="16" t="s">
        <v>10</v>
      </c>
      <c r="L6" s="16" t="s">
        <v>10</v>
      </c>
      <c r="M6" s="14"/>
    </row>
    <row r="7" spans="1:13" ht="23.5" customHeight="1" x14ac:dyDescent="0.2">
      <c r="A7" s="9"/>
      <c r="B7" s="16">
        <v>25410978</v>
      </c>
      <c r="C7" s="16">
        <v>25410978</v>
      </c>
      <c r="D7" s="14"/>
      <c r="E7" s="16">
        <v>11303641</v>
      </c>
      <c r="F7" s="16">
        <v>11303641</v>
      </c>
      <c r="G7" s="14"/>
      <c r="H7" s="16">
        <v>43845037</v>
      </c>
      <c r="I7" s="16">
        <v>43845037</v>
      </c>
      <c r="J7" s="14"/>
      <c r="K7" s="16">
        <v>54096174</v>
      </c>
      <c r="L7" s="16">
        <v>54096174</v>
      </c>
      <c r="M7" s="14"/>
    </row>
    <row r="8" spans="1:13" ht="23.5" customHeight="1" x14ac:dyDescent="0.2">
      <c r="A8" s="2"/>
      <c r="B8" s="17" t="s">
        <v>11</v>
      </c>
      <c r="C8" s="15" t="s">
        <v>12</v>
      </c>
      <c r="D8" s="13" t="s">
        <v>15</v>
      </c>
      <c r="E8" s="15" t="s">
        <v>11</v>
      </c>
      <c r="F8" s="15" t="s">
        <v>12</v>
      </c>
      <c r="G8" s="13" t="s">
        <v>15</v>
      </c>
      <c r="H8" s="15" t="s">
        <v>11</v>
      </c>
      <c r="I8" s="15" t="s">
        <v>12</v>
      </c>
      <c r="J8" s="13" t="s">
        <v>15</v>
      </c>
      <c r="K8" s="15" t="s">
        <v>11</v>
      </c>
      <c r="L8" s="15" t="s">
        <v>12</v>
      </c>
      <c r="M8" s="13" t="s">
        <v>15</v>
      </c>
    </row>
    <row r="9" spans="1:13" ht="20.25" customHeight="1" x14ac:dyDescent="0.2">
      <c r="A9" s="3">
        <v>202401</v>
      </c>
      <c r="B9" s="4" t="s">
        <v>13</v>
      </c>
      <c r="C9" s="4" t="s">
        <v>13</v>
      </c>
      <c r="D9" s="4"/>
      <c r="E9" s="5">
        <v>152.31</v>
      </c>
      <c r="F9" s="5">
        <v>2.8893100000000005</v>
      </c>
      <c r="G9" s="5">
        <f>F10/E10*1000</f>
        <v>18.970012442496252</v>
      </c>
      <c r="H9" s="4" t="s">
        <v>13</v>
      </c>
      <c r="I9" s="4" t="s">
        <v>13</v>
      </c>
      <c r="J9" s="4"/>
      <c r="K9" s="5">
        <v>1</v>
      </c>
      <c r="L9" s="5">
        <v>9.2950000000000005E-2</v>
      </c>
      <c r="M9" s="8">
        <f>L9/K9*1000</f>
        <v>92.95</v>
      </c>
    </row>
    <row r="10" spans="1:13" ht="20.25" customHeight="1" x14ac:dyDescent="0.2">
      <c r="A10" s="3">
        <v>202402</v>
      </c>
      <c r="B10" s="5">
        <v>1354.24</v>
      </c>
      <c r="C10" s="5">
        <v>25.351380000000002</v>
      </c>
      <c r="D10" s="5">
        <f>C10/B10*1000</f>
        <v>18.720005316635163</v>
      </c>
      <c r="E10" s="5">
        <v>1752.0600000000002</v>
      </c>
      <c r="F10" s="5">
        <v>33.236599999999989</v>
      </c>
      <c r="G10" s="5">
        <f t="shared" ref="G10:G73" si="0">F11/E11*1000</f>
        <v>18.970029144373399</v>
      </c>
      <c r="H10" s="4" t="s">
        <v>13</v>
      </c>
      <c r="I10" s="4" t="s">
        <v>13</v>
      </c>
      <c r="J10" s="4"/>
      <c r="K10" s="5">
        <v>53</v>
      </c>
      <c r="L10" s="5">
        <v>4.7784800000000001</v>
      </c>
      <c r="M10" s="8">
        <f t="shared" ref="M10:M73" si="1">L10/K10*1000</f>
        <v>90.160000000000011</v>
      </c>
    </row>
    <row r="11" spans="1:13" ht="20.25" customHeight="1" x14ac:dyDescent="0.2">
      <c r="A11" s="3">
        <v>202403</v>
      </c>
      <c r="B11" s="5">
        <v>495.89</v>
      </c>
      <c r="C11" s="5">
        <v>9.283059999999999</v>
      </c>
      <c r="D11" s="5">
        <f t="shared" ref="D11:D74" si="2">C11/B11*1000</f>
        <v>18.719998386738993</v>
      </c>
      <c r="E11" s="5">
        <v>459.78</v>
      </c>
      <c r="F11" s="5">
        <v>8.7220399999999998</v>
      </c>
      <c r="G11" s="5">
        <f t="shared" si="0"/>
        <v>18.970045063168904</v>
      </c>
      <c r="H11" s="4" t="s">
        <v>13</v>
      </c>
      <c r="I11" s="4" t="s">
        <v>13</v>
      </c>
      <c r="J11" s="4"/>
      <c r="K11" s="5">
        <v>1</v>
      </c>
      <c r="L11" s="5">
        <v>9.0160000000000004E-2</v>
      </c>
      <c r="M11" s="8">
        <f t="shared" si="1"/>
        <v>90.160000000000011</v>
      </c>
    </row>
    <row r="12" spans="1:13" ht="20.25" customHeight="1" x14ac:dyDescent="0.2">
      <c r="A12" s="3">
        <v>202404</v>
      </c>
      <c r="B12" s="5">
        <v>4.2</v>
      </c>
      <c r="C12" s="5">
        <v>7.8620000000000009E-2</v>
      </c>
      <c r="D12" s="5">
        <f t="shared" si="2"/>
        <v>18.719047619047622</v>
      </c>
      <c r="E12" s="5">
        <v>497.0800000000001</v>
      </c>
      <c r="F12" s="5">
        <v>9.4296299999999995</v>
      </c>
      <c r="G12" s="5">
        <f t="shared" si="0"/>
        <v>18.970020661962497</v>
      </c>
      <c r="H12" s="4" t="s">
        <v>13</v>
      </c>
      <c r="I12" s="4" t="s">
        <v>13</v>
      </c>
      <c r="J12" s="4"/>
      <c r="K12" s="5">
        <v>1</v>
      </c>
      <c r="L12" s="5">
        <v>9.0160000000000004E-2</v>
      </c>
      <c r="M12" s="8">
        <f t="shared" si="1"/>
        <v>90.160000000000011</v>
      </c>
    </row>
    <row r="13" spans="1:13" ht="20.25" customHeight="1" x14ac:dyDescent="0.2">
      <c r="A13" s="3">
        <v>202405</v>
      </c>
      <c r="B13" s="5">
        <v>172</v>
      </c>
      <c r="C13" s="5">
        <v>3.2198399999999996</v>
      </c>
      <c r="D13" s="5">
        <f t="shared" si="2"/>
        <v>18.719999999999995</v>
      </c>
      <c r="E13" s="5">
        <v>1026.04</v>
      </c>
      <c r="F13" s="5">
        <v>19.463999999999999</v>
      </c>
      <c r="G13" s="5">
        <f t="shared" si="0"/>
        <v>18.970003692245015</v>
      </c>
      <c r="H13" s="4" t="s">
        <v>13</v>
      </c>
      <c r="I13" s="4" t="s">
        <v>13</v>
      </c>
      <c r="J13" s="4"/>
      <c r="K13" s="5">
        <v>8</v>
      </c>
      <c r="L13" s="5">
        <v>0.72128000000000003</v>
      </c>
      <c r="M13" s="8">
        <f t="shared" si="1"/>
        <v>90.160000000000011</v>
      </c>
    </row>
    <row r="14" spans="1:13" ht="20.25" customHeight="1" x14ac:dyDescent="0.2">
      <c r="A14" s="3">
        <v>202406</v>
      </c>
      <c r="B14" s="5">
        <v>353.85</v>
      </c>
      <c r="C14" s="5">
        <v>6.6240800000000002</v>
      </c>
      <c r="D14" s="5">
        <f t="shared" si="2"/>
        <v>18.720022608449909</v>
      </c>
      <c r="E14" s="5">
        <v>1570.86</v>
      </c>
      <c r="F14" s="5">
        <v>29.799219999999998</v>
      </c>
      <c r="G14" s="5">
        <f t="shared" si="0"/>
        <v>18.969991451475021</v>
      </c>
      <c r="H14" s="4" t="s">
        <v>13</v>
      </c>
      <c r="I14" s="4" t="s">
        <v>13</v>
      </c>
      <c r="J14" s="4"/>
      <c r="K14" s="5">
        <v>1</v>
      </c>
      <c r="L14" s="5">
        <v>9.0160000000000004E-2</v>
      </c>
      <c r="M14" s="8">
        <f t="shared" si="1"/>
        <v>90.160000000000011</v>
      </c>
    </row>
    <row r="15" spans="1:13" ht="20.25" customHeight="1" x14ac:dyDescent="0.2">
      <c r="A15" s="3">
        <v>202407</v>
      </c>
      <c r="B15" s="4" t="s">
        <v>13</v>
      </c>
      <c r="C15" s="4" t="s">
        <v>13</v>
      </c>
      <c r="D15" s="5" t="e">
        <f t="shared" si="2"/>
        <v>#VALUE!</v>
      </c>
      <c r="E15" s="5">
        <v>1239.98</v>
      </c>
      <c r="F15" s="5">
        <v>23.522410000000001</v>
      </c>
      <c r="G15" s="5">
        <f t="shared" si="0"/>
        <v>18.970016334926491</v>
      </c>
      <c r="H15" s="4" t="s">
        <v>13</v>
      </c>
      <c r="I15" s="4" t="s">
        <v>13</v>
      </c>
      <c r="J15" s="4"/>
      <c r="K15" s="5">
        <v>18</v>
      </c>
      <c r="L15" s="5">
        <v>1.6228799999999999</v>
      </c>
      <c r="M15" s="8">
        <f t="shared" si="1"/>
        <v>90.16</v>
      </c>
    </row>
    <row r="16" spans="1:13" ht="20.25" customHeight="1" x14ac:dyDescent="0.2">
      <c r="A16" s="3">
        <v>202408</v>
      </c>
      <c r="B16" s="5">
        <v>2094.3999999999996</v>
      </c>
      <c r="C16" s="5">
        <v>39.207169999999998</v>
      </c>
      <c r="D16" s="5">
        <f t="shared" si="2"/>
        <v>18.720000954927428</v>
      </c>
      <c r="E16" s="5">
        <v>826.44999999999982</v>
      </c>
      <c r="F16" s="5">
        <v>15.677769999999997</v>
      </c>
      <c r="G16" s="5">
        <f t="shared" si="0"/>
        <v>18.967731373967336</v>
      </c>
      <c r="H16" s="4" t="s">
        <v>13</v>
      </c>
      <c r="I16" s="4" t="s">
        <v>13</v>
      </c>
      <c r="J16" s="4"/>
      <c r="K16" s="5">
        <v>1</v>
      </c>
      <c r="L16" s="5">
        <v>9.0160000000000004E-2</v>
      </c>
      <c r="M16" s="8">
        <f t="shared" si="1"/>
        <v>90.160000000000011</v>
      </c>
    </row>
    <row r="17" spans="1:13" ht="20.25" customHeight="1" x14ac:dyDescent="0.2">
      <c r="A17" s="3">
        <v>202409</v>
      </c>
      <c r="B17" s="5">
        <v>401.3</v>
      </c>
      <c r="C17" s="5">
        <v>7.51234</v>
      </c>
      <c r="D17" s="5">
        <f t="shared" si="2"/>
        <v>18.720009967605282</v>
      </c>
      <c r="E17" s="5">
        <v>1313.35</v>
      </c>
      <c r="F17" s="5">
        <v>24.911269999999998</v>
      </c>
      <c r="G17" s="5">
        <f t="shared" si="0"/>
        <v>18.970013819283725</v>
      </c>
      <c r="H17" s="4" t="s">
        <v>13</v>
      </c>
      <c r="I17" s="4" t="s">
        <v>13</v>
      </c>
      <c r="J17" s="4"/>
      <c r="K17" s="5">
        <v>3</v>
      </c>
      <c r="L17" s="5">
        <v>0.27048</v>
      </c>
      <c r="M17" s="8">
        <f t="shared" si="1"/>
        <v>90.160000000000011</v>
      </c>
    </row>
    <row r="18" spans="1:13" ht="20.25" customHeight="1" x14ac:dyDescent="0.2">
      <c r="A18" s="3">
        <v>202410</v>
      </c>
      <c r="B18" s="5">
        <v>40.760000000000005</v>
      </c>
      <c r="C18" s="5">
        <v>0.76302999999999999</v>
      </c>
      <c r="D18" s="5">
        <f t="shared" si="2"/>
        <v>18.720068694798819</v>
      </c>
      <c r="E18" s="5">
        <v>600.61</v>
      </c>
      <c r="F18" s="5">
        <v>11.393579999999998</v>
      </c>
      <c r="G18" s="5">
        <f t="shared" si="0"/>
        <v>18.970024564193238</v>
      </c>
      <c r="H18" s="4" t="s">
        <v>13</v>
      </c>
      <c r="I18" s="4" t="s">
        <v>13</v>
      </c>
      <c r="J18" s="4"/>
      <c r="K18" s="5">
        <v>7</v>
      </c>
      <c r="L18" s="5">
        <v>0.6311199999999999</v>
      </c>
      <c r="M18" s="8">
        <f t="shared" si="1"/>
        <v>90.16</v>
      </c>
    </row>
    <row r="19" spans="1:13" ht="20.25" customHeight="1" x14ac:dyDescent="0.2">
      <c r="A19" s="3">
        <v>202411</v>
      </c>
      <c r="B19" s="5">
        <v>53.89</v>
      </c>
      <c r="C19" s="5">
        <v>1.0088200000000001</v>
      </c>
      <c r="D19" s="5">
        <f t="shared" si="2"/>
        <v>18.71998515494526</v>
      </c>
      <c r="E19" s="5">
        <v>842.68999999999994</v>
      </c>
      <c r="F19" s="5">
        <v>15.985850000000001</v>
      </c>
      <c r="G19" s="5">
        <f t="shared" si="0"/>
        <v>18.970015734443205</v>
      </c>
      <c r="H19" s="5">
        <v>3</v>
      </c>
      <c r="I19" s="5">
        <v>0.33738000000000001</v>
      </c>
      <c r="J19" s="5">
        <f>I19/H19*1000</f>
        <v>112.46000000000001</v>
      </c>
      <c r="K19" s="5">
        <v>6</v>
      </c>
      <c r="L19" s="5">
        <v>0.54095999999999989</v>
      </c>
      <c r="M19" s="8">
        <f t="shared" si="1"/>
        <v>90.159999999999982</v>
      </c>
    </row>
    <row r="20" spans="1:13" ht="20.25" customHeight="1" x14ac:dyDescent="0.2">
      <c r="A20" s="3">
        <v>202412</v>
      </c>
      <c r="B20" s="5">
        <v>-196.84999999999994</v>
      </c>
      <c r="C20" s="5">
        <v>-3.6850300000000007</v>
      </c>
      <c r="D20" s="5">
        <f t="shared" si="2"/>
        <v>18.719989839979689</v>
      </c>
      <c r="E20" s="5">
        <v>788.08</v>
      </c>
      <c r="F20" s="5">
        <v>14.949890000000002</v>
      </c>
      <c r="G20" s="5">
        <f t="shared" si="0"/>
        <v>18.970042599972516</v>
      </c>
      <c r="H20" s="5">
        <v>3</v>
      </c>
      <c r="I20" s="5">
        <v>0.33738000000000001</v>
      </c>
      <c r="J20" s="5">
        <f t="shared" ref="J20:J83" si="3">I20/H20*1000</f>
        <v>112.46000000000001</v>
      </c>
      <c r="K20" s="5">
        <v>15</v>
      </c>
      <c r="L20" s="5">
        <v>1.3524</v>
      </c>
      <c r="M20" s="8">
        <f t="shared" si="1"/>
        <v>90.160000000000011</v>
      </c>
    </row>
    <row r="21" spans="1:13" ht="20.25" customHeight="1" x14ac:dyDescent="0.2">
      <c r="A21" s="3">
        <v>202413</v>
      </c>
      <c r="B21" s="5">
        <v>985.02</v>
      </c>
      <c r="C21" s="5">
        <v>18.43957</v>
      </c>
      <c r="D21" s="5">
        <f t="shared" si="2"/>
        <v>18.719995533085623</v>
      </c>
      <c r="E21" s="5">
        <v>72.77</v>
      </c>
      <c r="F21" s="5">
        <v>1.38045</v>
      </c>
      <c r="G21" s="5">
        <f t="shared" si="0"/>
        <v>21.833815873180736</v>
      </c>
      <c r="H21" s="5">
        <v>1</v>
      </c>
      <c r="I21" s="5">
        <v>0.11245999999999999</v>
      </c>
      <c r="J21" s="5">
        <f t="shared" si="3"/>
        <v>112.46</v>
      </c>
      <c r="K21" s="5">
        <v>26</v>
      </c>
      <c r="L21" s="5">
        <v>2.34416</v>
      </c>
      <c r="M21" s="8">
        <f t="shared" si="1"/>
        <v>90.160000000000011</v>
      </c>
    </row>
    <row r="22" spans="1:13" ht="20.25" customHeight="1" x14ac:dyDescent="0.2">
      <c r="A22" s="3">
        <v>202414</v>
      </c>
      <c r="B22" s="5">
        <v>404.38</v>
      </c>
      <c r="C22" s="5">
        <v>8.702259999999999</v>
      </c>
      <c r="D22" s="5">
        <f t="shared" si="2"/>
        <v>21.520005935011621</v>
      </c>
      <c r="E22" s="5">
        <v>770.23</v>
      </c>
      <c r="F22" s="5">
        <v>16.817059999999998</v>
      </c>
      <c r="G22" s="5">
        <f t="shared" si="0"/>
        <v>21.936287427747235</v>
      </c>
      <c r="H22" s="5">
        <v>2</v>
      </c>
      <c r="I22" s="5">
        <v>0.22918000000000002</v>
      </c>
      <c r="J22" s="5">
        <f t="shared" si="3"/>
        <v>114.59000000000002</v>
      </c>
      <c r="K22" s="5">
        <v>5</v>
      </c>
      <c r="L22" s="5">
        <v>0.45771999999999996</v>
      </c>
      <c r="M22" s="8">
        <f t="shared" si="1"/>
        <v>91.543999999999983</v>
      </c>
    </row>
    <row r="23" spans="1:13" ht="20.25" customHeight="1" x14ac:dyDescent="0.2">
      <c r="A23" s="3">
        <v>202415</v>
      </c>
      <c r="B23" s="5">
        <v>192.40000000000003</v>
      </c>
      <c r="C23" s="5">
        <v>4.1192500000000001</v>
      </c>
      <c r="D23" s="5">
        <f t="shared" si="2"/>
        <v>21.409823284823283</v>
      </c>
      <c r="E23" s="5">
        <v>1844.2199999999998</v>
      </c>
      <c r="F23" s="5">
        <v>40.45534</v>
      </c>
      <c r="G23" s="5">
        <f t="shared" si="0"/>
        <v>21.940020753275487</v>
      </c>
      <c r="H23" s="4" t="s">
        <v>13</v>
      </c>
      <c r="I23" s="4" t="s">
        <v>13</v>
      </c>
      <c r="J23" s="5" t="e">
        <f t="shared" si="3"/>
        <v>#VALUE!</v>
      </c>
      <c r="K23" s="5">
        <v>6</v>
      </c>
      <c r="L23" s="5">
        <v>0.55134000000000005</v>
      </c>
      <c r="M23" s="8">
        <f t="shared" si="1"/>
        <v>91.890000000000015</v>
      </c>
    </row>
    <row r="24" spans="1:13" ht="20.25" customHeight="1" x14ac:dyDescent="0.2">
      <c r="A24" s="3">
        <v>202416</v>
      </c>
      <c r="B24" s="5">
        <v>83.65</v>
      </c>
      <c r="C24" s="5">
        <v>1.7558199999999999</v>
      </c>
      <c r="D24" s="5">
        <f t="shared" si="2"/>
        <v>20.990077704722054</v>
      </c>
      <c r="E24" s="5">
        <v>876.96999999999991</v>
      </c>
      <c r="F24" s="5">
        <v>19.240740000000002</v>
      </c>
      <c r="G24" s="5">
        <f t="shared" si="0"/>
        <v>21.939995549338757</v>
      </c>
      <c r="H24" s="5">
        <v>4</v>
      </c>
      <c r="I24" s="5">
        <v>0.45836000000000005</v>
      </c>
      <c r="J24" s="5">
        <f t="shared" si="3"/>
        <v>114.59000000000002</v>
      </c>
      <c r="K24" s="5">
        <v>16</v>
      </c>
      <c r="L24" s="5">
        <v>1.4702400000000002</v>
      </c>
      <c r="M24" s="8">
        <f t="shared" si="1"/>
        <v>91.890000000000015</v>
      </c>
    </row>
    <row r="25" spans="1:13" ht="20.25" customHeight="1" x14ac:dyDescent="0.2">
      <c r="A25" s="3">
        <v>202417</v>
      </c>
      <c r="B25" s="5">
        <v>-215.25999999999985</v>
      </c>
      <c r="C25" s="5">
        <v>-4.5183000000000098</v>
      </c>
      <c r="D25" s="5">
        <f t="shared" si="2"/>
        <v>20.989965622967635</v>
      </c>
      <c r="E25" s="5">
        <v>629.12</v>
      </c>
      <c r="F25" s="5">
        <v>13.80289</v>
      </c>
      <c r="G25" s="5">
        <f t="shared" si="0"/>
        <v>21.879983478979177</v>
      </c>
      <c r="H25" s="5">
        <v>4</v>
      </c>
      <c r="I25" s="5">
        <v>0.45836000000000005</v>
      </c>
      <c r="J25" s="5">
        <f t="shared" si="3"/>
        <v>114.59000000000002</v>
      </c>
      <c r="K25" s="5">
        <v>10</v>
      </c>
      <c r="L25" s="5">
        <v>0.91890000000000005</v>
      </c>
      <c r="M25" s="8">
        <f t="shared" si="1"/>
        <v>91.89</v>
      </c>
    </row>
    <row r="26" spans="1:13" ht="20.25" customHeight="1" x14ac:dyDescent="0.2">
      <c r="A26" s="3">
        <v>202418</v>
      </c>
      <c r="B26" s="5">
        <v>1355.99</v>
      </c>
      <c r="C26" s="5">
        <v>28.46332</v>
      </c>
      <c r="D26" s="5">
        <f t="shared" si="2"/>
        <v>20.990803766989433</v>
      </c>
      <c r="E26" s="5">
        <v>1380.0599999999997</v>
      </c>
      <c r="F26" s="5">
        <v>30.195689999999999</v>
      </c>
      <c r="G26" s="5">
        <f t="shared" si="0"/>
        <v>21.739996154421348</v>
      </c>
      <c r="H26" s="5">
        <v>8</v>
      </c>
      <c r="I26" s="5">
        <v>0.91672000000000009</v>
      </c>
      <c r="J26" s="5">
        <f t="shared" si="3"/>
        <v>114.59000000000002</v>
      </c>
      <c r="K26" s="5">
        <v>2</v>
      </c>
      <c r="L26" s="5">
        <v>0.18378</v>
      </c>
      <c r="M26" s="8">
        <f t="shared" si="1"/>
        <v>91.89</v>
      </c>
    </row>
    <row r="27" spans="1:13" ht="20.25" customHeight="1" x14ac:dyDescent="0.2">
      <c r="A27" s="3">
        <v>202419</v>
      </c>
      <c r="B27" s="5">
        <v>734.49</v>
      </c>
      <c r="C27" s="5">
        <v>15.424290000000001</v>
      </c>
      <c r="D27" s="5">
        <f t="shared" si="2"/>
        <v>21</v>
      </c>
      <c r="E27" s="5">
        <v>1404.21</v>
      </c>
      <c r="F27" s="5">
        <v>30.527520000000003</v>
      </c>
      <c r="G27" s="5">
        <f t="shared" si="0"/>
        <v>21.739982783255392</v>
      </c>
      <c r="H27" s="5">
        <v>7</v>
      </c>
      <c r="I27" s="5">
        <v>0.80213000000000012</v>
      </c>
      <c r="J27" s="5">
        <f t="shared" si="3"/>
        <v>114.59000000000002</v>
      </c>
      <c r="K27" s="5">
        <v>1</v>
      </c>
      <c r="L27" s="5">
        <v>9.1889999999999999E-2</v>
      </c>
      <c r="M27" s="8">
        <f t="shared" si="1"/>
        <v>91.89</v>
      </c>
    </row>
    <row r="28" spans="1:13" ht="20.25" customHeight="1" x14ac:dyDescent="0.2">
      <c r="A28" s="3">
        <v>202420</v>
      </c>
      <c r="B28" s="5">
        <v>1069.54</v>
      </c>
      <c r="C28" s="5">
        <v>22.460339999999999</v>
      </c>
      <c r="D28" s="5">
        <f t="shared" si="2"/>
        <v>20.999999999999996</v>
      </c>
      <c r="E28" s="5">
        <v>1126.81</v>
      </c>
      <c r="F28" s="5">
        <v>24.496830000000006</v>
      </c>
      <c r="G28" s="5">
        <f t="shared" si="0"/>
        <v>21.740007554044745</v>
      </c>
      <c r="H28" s="5">
        <v>10</v>
      </c>
      <c r="I28" s="5">
        <v>1.1459000000000001</v>
      </c>
      <c r="J28" s="5">
        <f t="shared" si="3"/>
        <v>114.59000000000002</v>
      </c>
      <c r="K28" s="5">
        <v>3</v>
      </c>
      <c r="L28" s="5">
        <v>0.27567000000000003</v>
      </c>
      <c r="M28" s="8">
        <f t="shared" si="1"/>
        <v>91.890000000000015</v>
      </c>
    </row>
    <row r="29" spans="1:13" ht="20.25" customHeight="1" x14ac:dyDescent="0.2">
      <c r="A29" s="3">
        <v>202421</v>
      </c>
      <c r="B29" s="5">
        <v>561.54</v>
      </c>
      <c r="C29" s="5">
        <v>11.792340000000001</v>
      </c>
      <c r="D29" s="5">
        <f t="shared" si="2"/>
        <v>21.000000000000004</v>
      </c>
      <c r="E29" s="5">
        <v>900.18000000000006</v>
      </c>
      <c r="F29" s="5">
        <v>19.56992</v>
      </c>
      <c r="G29" s="5">
        <f t="shared" si="0"/>
        <v>21.739987884095175</v>
      </c>
      <c r="H29" s="5">
        <v>6</v>
      </c>
      <c r="I29" s="5">
        <v>0.68754000000000004</v>
      </c>
      <c r="J29" s="5">
        <f t="shared" si="3"/>
        <v>114.59000000000002</v>
      </c>
      <c r="K29" s="5">
        <v>4</v>
      </c>
      <c r="L29" s="5">
        <v>0.36756</v>
      </c>
      <c r="M29" s="8">
        <f t="shared" si="1"/>
        <v>91.89</v>
      </c>
    </row>
    <row r="30" spans="1:13" ht="20.25" customHeight="1" x14ac:dyDescent="0.2">
      <c r="A30" s="3">
        <v>202422</v>
      </c>
      <c r="B30" s="5">
        <v>395.67</v>
      </c>
      <c r="C30" s="5">
        <v>8.3090700000000002</v>
      </c>
      <c r="D30" s="5">
        <f t="shared" si="2"/>
        <v>21</v>
      </c>
      <c r="E30" s="5">
        <v>1667.2300000000002</v>
      </c>
      <c r="F30" s="5">
        <v>36.245560000000005</v>
      </c>
      <c r="G30" s="5">
        <f t="shared" si="0"/>
        <v>23.68416544561283</v>
      </c>
      <c r="H30" s="5">
        <v>19</v>
      </c>
      <c r="I30" s="5">
        <v>2.1772100000000001</v>
      </c>
      <c r="J30" s="5">
        <f t="shared" si="3"/>
        <v>114.59000000000002</v>
      </c>
      <c r="K30" s="5">
        <v>15</v>
      </c>
      <c r="L30" s="5">
        <v>1.37835</v>
      </c>
      <c r="M30" s="8">
        <f t="shared" si="1"/>
        <v>91.89</v>
      </c>
    </row>
    <row r="31" spans="1:13" ht="20.25" customHeight="1" x14ac:dyDescent="0.2">
      <c r="A31" s="3">
        <v>202423</v>
      </c>
      <c r="B31" s="5">
        <v>735.03000000000009</v>
      </c>
      <c r="C31" s="5">
        <v>16.817490000000003</v>
      </c>
      <c r="D31" s="5">
        <f t="shared" si="2"/>
        <v>22.880004897759274</v>
      </c>
      <c r="E31" s="5">
        <v>1856.3200000000002</v>
      </c>
      <c r="F31" s="5">
        <v>43.965390000000014</v>
      </c>
      <c r="G31" s="5">
        <f t="shared" si="0"/>
        <v>23.69999438107547</v>
      </c>
      <c r="H31" s="5">
        <v>5</v>
      </c>
      <c r="I31" s="5">
        <v>0.57295000000000007</v>
      </c>
      <c r="J31" s="5">
        <f t="shared" si="3"/>
        <v>114.59000000000002</v>
      </c>
      <c r="K31" s="5">
        <v>2</v>
      </c>
      <c r="L31" s="5">
        <v>0.18378</v>
      </c>
      <c r="M31" s="8">
        <f t="shared" si="1"/>
        <v>91.89</v>
      </c>
    </row>
    <row r="32" spans="1:13" ht="20.25" customHeight="1" x14ac:dyDescent="0.2">
      <c r="A32" s="3">
        <v>202424</v>
      </c>
      <c r="B32" s="5">
        <v>94.3</v>
      </c>
      <c r="C32" s="5">
        <v>2.1575899999999999</v>
      </c>
      <c r="D32" s="5">
        <f t="shared" si="2"/>
        <v>22.880063626723224</v>
      </c>
      <c r="E32" s="5">
        <v>889.84999999999991</v>
      </c>
      <c r="F32" s="5">
        <v>21.089440000000003</v>
      </c>
      <c r="G32" s="5">
        <f t="shared" si="0"/>
        <v>23.319342363313112</v>
      </c>
      <c r="H32" s="5">
        <v>4</v>
      </c>
      <c r="I32" s="5">
        <v>0.45836000000000005</v>
      </c>
      <c r="J32" s="5">
        <f t="shared" si="3"/>
        <v>114.59000000000002</v>
      </c>
      <c r="K32" s="5">
        <v>28</v>
      </c>
      <c r="L32" s="5">
        <v>2.5729199999999999</v>
      </c>
      <c r="M32" s="8">
        <f t="shared" si="1"/>
        <v>91.89</v>
      </c>
    </row>
    <row r="33" spans="1:13" ht="20.25" customHeight="1" x14ac:dyDescent="0.2">
      <c r="A33" s="3">
        <v>202425</v>
      </c>
      <c r="B33" s="5">
        <v>270.59999999999997</v>
      </c>
      <c r="C33" s="5">
        <v>6.1237300000000001</v>
      </c>
      <c r="D33" s="5">
        <f t="shared" si="2"/>
        <v>22.630192165558022</v>
      </c>
      <c r="E33" s="5">
        <v>545.58999999999992</v>
      </c>
      <c r="F33" s="5">
        <v>12.722799999999999</v>
      </c>
      <c r="G33" s="5">
        <f t="shared" si="0"/>
        <v>22.450004974629397</v>
      </c>
      <c r="H33" s="5">
        <v>5</v>
      </c>
      <c r="I33" s="5">
        <v>0.57295000000000007</v>
      </c>
      <c r="J33" s="5">
        <f t="shared" si="3"/>
        <v>114.59000000000002</v>
      </c>
      <c r="K33" s="5">
        <v>4</v>
      </c>
      <c r="L33" s="5">
        <v>0.36756</v>
      </c>
      <c r="M33" s="8">
        <f t="shared" si="1"/>
        <v>91.89</v>
      </c>
    </row>
    <row r="34" spans="1:13" ht="20.25" customHeight="1" x14ac:dyDescent="0.2">
      <c r="A34" s="3">
        <v>202426</v>
      </c>
      <c r="B34" s="5">
        <v>777.32999999999993</v>
      </c>
      <c r="C34" s="5">
        <v>17.116800000000001</v>
      </c>
      <c r="D34" s="5">
        <f t="shared" si="2"/>
        <v>22.01999150939756</v>
      </c>
      <c r="E34" s="5">
        <v>3115.81</v>
      </c>
      <c r="F34" s="5">
        <v>69.949950000000015</v>
      </c>
      <c r="G34" s="5">
        <f t="shared" si="0"/>
        <v>22.465549724128646</v>
      </c>
      <c r="H34" s="5">
        <v>5</v>
      </c>
      <c r="I34" s="5">
        <v>0.57295000000000007</v>
      </c>
      <c r="J34" s="5">
        <f t="shared" si="3"/>
        <v>114.59000000000002</v>
      </c>
      <c r="K34" s="5">
        <v>2</v>
      </c>
      <c r="L34" s="5">
        <v>0.18378</v>
      </c>
      <c r="M34" s="8">
        <f t="shared" si="1"/>
        <v>91.89</v>
      </c>
    </row>
    <row r="35" spans="1:13" ht="20.25" customHeight="1" x14ac:dyDescent="0.2">
      <c r="A35" s="3">
        <v>202427</v>
      </c>
      <c r="B35" s="5">
        <v>283.8</v>
      </c>
      <c r="C35" s="5">
        <v>6.2492800000000006</v>
      </c>
      <c r="D35" s="5">
        <f t="shared" si="2"/>
        <v>22.0200140944327</v>
      </c>
      <c r="E35" s="5">
        <v>297.24</v>
      </c>
      <c r="F35" s="5">
        <v>6.6776599999999995</v>
      </c>
      <c r="G35" s="5">
        <f t="shared" si="0"/>
        <v>22.450036418646345</v>
      </c>
      <c r="H35" s="5">
        <v>3</v>
      </c>
      <c r="I35" s="5">
        <v>0.34376999999999996</v>
      </c>
      <c r="J35" s="5">
        <f t="shared" si="3"/>
        <v>114.58999999999999</v>
      </c>
      <c r="K35" s="5">
        <v>1</v>
      </c>
      <c r="L35" s="5">
        <v>9.1889999999999999E-2</v>
      </c>
      <c r="M35" s="8">
        <f t="shared" si="1"/>
        <v>91.89</v>
      </c>
    </row>
    <row r="36" spans="1:13" ht="20.25" customHeight="1" x14ac:dyDescent="0.2">
      <c r="A36" s="3">
        <v>202428</v>
      </c>
      <c r="B36" s="5">
        <v>189.8</v>
      </c>
      <c r="C36" s="5">
        <v>4.1793999999999993</v>
      </c>
      <c r="D36" s="5">
        <f t="shared" si="2"/>
        <v>22.020021074815592</v>
      </c>
      <c r="E36" s="5">
        <v>713.92000000000007</v>
      </c>
      <c r="F36" s="5">
        <v>16.027530000000002</v>
      </c>
      <c r="G36" s="5">
        <f t="shared" si="0"/>
        <v>22.450007069469315</v>
      </c>
      <c r="H36" s="4" t="s">
        <v>13</v>
      </c>
      <c r="I36" s="4" t="s">
        <v>13</v>
      </c>
      <c r="J36" s="5" t="e">
        <f t="shared" si="3"/>
        <v>#VALUE!</v>
      </c>
      <c r="K36" s="5">
        <v>3</v>
      </c>
      <c r="L36" s="5">
        <v>0.27567000000000003</v>
      </c>
      <c r="M36" s="8">
        <f t="shared" si="1"/>
        <v>91.890000000000015</v>
      </c>
    </row>
    <row r="37" spans="1:13" ht="20.25" customHeight="1" x14ac:dyDescent="0.2">
      <c r="A37" s="3">
        <v>202429</v>
      </c>
      <c r="B37" s="5">
        <v>985.36</v>
      </c>
      <c r="C37" s="5">
        <v>21.998639999999998</v>
      </c>
      <c r="D37" s="5">
        <f t="shared" si="2"/>
        <v>22.325485101891694</v>
      </c>
      <c r="E37" s="5">
        <v>848.72</v>
      </c>
      <c r="F37" s="5">
        <v>19.053769999999997</v>
      </c>
      <c r="G37" s="5">
        <f t="shared" si="0"/>
        <v>22.450014359105275</v>
      </c>
      <c r="H37" s="5">
        <v>1</v>
      </c>
      <c r="I37" s="5">
        <v>0.11459000000000001</v>
      </c>
      <c r="J37" s="5">
        <f t="shared" si="3"/>
        <v>114.59000000000002</v>
      </c>
      <c r="K37" s="5">
        <v>2</v>
      </c>
      <c r="L37" s="5">
        <v>0.18378</v>
      </c>
      <c r="M37" s="8">
        <f t="shared" si="1"/>
        <v>91.89</v>
      </c>
    </row>
    <row r="38" spans="1:13" ht="20.25" customHeight="1" x14ac:dyDescent="0.2">
      <c r="A38" s="3">
        <v>202430</v>
      </c>
      <c r="B38" s="5">
        <v>1212.7</v>
      </c>
      <c r="C38" s="5">
        <v>26.703659999999996</v>
      </c>
      <c r="D38" s="5">
        <f t="shared" si="2"/>
        <v>22.020004947637499</v>
      </c>
      <c r="E38" s="5">
        <v>313.39</v>
      </c>
      <c r="F38" s="5">
        <v>7.035610000000001</v>
      </c>
      <c r="G38" s="5">
        <f t="shared" si="0"/>
        <v>22.450007170857635</v>
      </c>
      <c r="H38" s="5">
        <v>2</v>
      </c>
      <c r="I38" s="5">
        <v>0.22918000000000002</v>
      </c>
      <c r="J38" s="5">
        <f t="shared" si="3"/>
        <v>114.59000000000002</v>
      </c>
      <c r="K38" s="5">
        <v>1</v>
      </c>
      <c r="L38" s="5">
        <v>9.1889999999999999E-2</v>
      </c>
      <c r="M38" s="8">
        <f t="shared" si="1"/>
        <v>91.89</v>
      </c>
    </row>
    <row r="39" spans="1:13" ht="20.25" customHeight="1" x14ac:dyDescent="0.2">
      <c r="A39" s="3">
        <v>202431</v>
      </c>
      <c r="B39" s="5">
        <v>1754.8899999999999</v>
      </c>
      <c r="C39" s="5">
        <v>38.642679999999999</v>
      </c>
      <c r="D39" s="5">
        <f t="shared" si="2"/>
        <v>22.02000125363983</v>
      </c>
      <c r="E39" s="5">
        <v>836.71999999999991</v>
      </c>
      <c r="F39" s="5">
        <v>18.784369999999999</v>
      </c>
      <c r="G39" s="5">
        <f t="shared" si="0"/>
        <v>22.450020451988962</v>
      </c>
      <c r="H39" s="4" t="s">
        <v>13</v>
      </c>
      <c r="I39" s="4" t="s">
        <v>13</v>
      </c>
      <c r="J39" s="5" t="e">
        <f t="shared" si="3"/>
        <v>#VALUE!</v>
      </c>
      <c r="K39" s="4" t="s">
        <v>13</v>
      </c>
      <c r="L39" s="4" t="s">
        <v>13</v>
      </c>
      <c r="M39" s="8" t="e">
        <f t="shared" si="1"/>
        <v>#VALUE!</v>
      </c>
    </row>
    <row r="40" spans="1:13" ht="20.25" customHeight="1" x14ac:dyDescent="0.2">
      <c r="A40" s="3">
        <v>202432</v>
      </c>
      <c r="B40" s="5">
        <v>2242.38</v>
      </c>
      <c r="C40" s="5">
        <v>49.377209999999998</v>
      </c>
      <c r="D40" s="5">
        <f t="shared" si="2"/>
        <v>22.020001070291386</v>
      </c>
      <c r="E40" s="5">
        <v>1173.4799999999998</v>
      </c>
      <c r="F40" s="5">
        <v>26.344650000000001</v>
      </c>
      <c r="G40" s="5">
        <f t="shared" si="0"/>
        <v>22.450000218769556</v>
      </c>
      <c r="H40" s="5">
        <v>7</v>
      </c>
      <c r="I40" s="5">
        <v>0.80213000000000012</v>
      </c>
      <c r="J40" s="5">
        <f t="shared" si="3"/>
        <v>114.59000000000002</v>
      </c>
      <c r="K40" s="5">
        <v>12</v>
      </c>
      <c r="L40" s="5">
        <v>1.1026800000000001</v>
      </c>
      <c r="M40" s="8">
        <f t="shared" si="1"/>
        <v>91.890000000000015</v>
      </c>
    </row>
    <row r="41" spans="1:13" ht="20.25" customHeight="1" x14ac:dyDescent="0.2">
      <c r="A41" s="3">
        <v>202433</v>
      </c>
      <c r="B41" s="5">
        <v>740.93999999999994</v>
      </c>
      <c r="C41" s="5">
        <v>16.3155</v>
      </c>
      <c r="D41" s="5">
        <f t="shared" si="2"/>
        <v>22.020001619564336</v>
      </c>
      <c r="E41" s="5">
        <v>2285.5099999999998</v>
      </c>
      <c r="F41" s="5">
        <v>51.309699999999999</v>
      </c>
      <c r="G41" s="5">
        <f t="shared" si="0"/>
        <v>22.450001994336088</v>
      </c>
      <c r="H41" s="5">
        <v>1</v>
      </c>
      <c r="I41" s="5">
        <v>0.11459000000000001</v>
      </c>
      <c r="J41" s="5">
        <f t="shared" si="3"/>
        <v>114.59000000000002</v>
      </c>
      <c r="K41" s="5">
        <v>12</v>
      </c>
      <c r="L41" s="5">
        <v>1.1026800000000001</v>
      </c>
      <c r="M41" s="8">
        <f t="shared" si="1"/>
        <v>91.890000000000015</v>
      </c>
    </row>
    <row r="42" spans="1:13" ht="20.25" customHeight="1" x14ac:dyDescent="0.2">
      <c r="A42" s="3">
        <v>202434</v>
      </c>
      <c r="B42" s="5">
        <v>186.49</v>
      </c>
      <c r="C42" s="5">
        <v>4.1065100000000001</v>
      </c>
      <c r="D42" s="5">
        <f t="shared" si="2"/>
        <v>22.020001072443563</v>
      </c>
      <c r="E42" s="5">
        <v>1002.8399999999999</v>
      </c>
      <c r="F42" s="5">
        <v>22.513759999999998</v>
      </c>
      <c r="G42" s="5">
        <f t="shared" si="0"/>
        <v>22.450021295852629</v>
      </c>
      <c r="H42" s="4" t="s">
        <v>13</v>
      </c>
      <c r="I42" s="4" t="s">
        <v>13</v>
      </c>
      <c r="J42" s="5" t="e">
        <f t="shared" si="3"/>
        <v>#VALUE!</v>
      </c>
      <c r="K42" s="5">
        <v>1</v>
      </c>
      <c r="L42" s="5">
        <v>9.1889999999999999E-2</v>
      </c>
      <c r="M42" s="8">
        <f t="shared" si="1"/>
        <v>91.89</v>
      </c>
    </row>
    <row r="43" spans="1:13" ht="20.25" customHeight="1" x14ac:dyDescent="0.2">
      <c r="A43" s="3">
        <v>202435</v>
      </c>
      <c r="B43" s="5">
        <v>327.78999999999996</v>
      </c>
      <c r="C43" s="5">
        <v>7.2179400000000005</v>
      </c>
      <c r="D43" s="5">
        <f t="shared" si="2"/>
        <v>22.02001281308155</v>
      </c>
      <c r="E43" s="5">
        <v>751.32000000000016</v>
      </c>
      <c r="F43" s="5">
        <v>16.867149999999999</v>
      </c>
      <c r="G43" s="5">
        <f t="shared" si="0"/>
        <v>22.450022243555221</v>
      </c>
      <c r="H43" s="5">
        <v>4</v>
      </c>
      <c r="I43" s="5">
        <v>0.45836000000000005</v>
      </c>
      <c r="J43" s="5">
        <f t="shared" si="3"/>
        <v>114.59000000000002</v>
      </c>
      <c r="K43" s="5">
        <v>42</v>
      </c>
      <c r="L43" s="5">
        <v>3.8593800000000003</v>
      </c>
      <c r="M43" s="8">
        <f t="shared" si="1"/>
        <v>91.89</v>
      </c>
    </row>
    <row r="44" spans="1:13" ht="20.25" customHeight="1" x14ac:dyDescent="0.2">
      <c r="A44" s="3">
        <v>202436</v>
      </c>
      <c r="B44" s="5">
        <v>1069.3499999999999</v>
      </c>
      <c r="C44" s="5">
        <v>23.547089999999997</v>
      </c>
      <c r="D44" s="5">
        <f t="shared" si="2"/>
        <v>22.020002805442555</v>
      </c>
      <c r="E44" s="5">
        <v>1708.36</v>
      </c>
      <c r="F44" s="5">
        <v>38.352719999999998</v>
      </c>
      <c r="G44" s="5">
        <f t="shared" si="0"/>
        <v>22.450015227176962</v>
      </c>
      <c r="H44" s="5">
        <v>5</v>
      </c>
      <c r="I44" s="5">
        <v>0.57295000000000007</v>
      </c>
      <c r="J44" s="5">
        <f t="shared" si="3"/>
        <v>114.59000000000002</v>
      </c>
      <c r="K44" s="5">
        <v>6</v>
      </c>
      <c r="L44" s="5">
        <v>0.55134000000000005</v>
      </c>
      <c r="M44" s="8">
        <f t="shared" si="1"/>
        <v>91.890000000000015</v>
      </c>
    </row>
    <row r="45" spans="1:13" ht="20.25" customHeight="1" x14ac:dyDescent="0.2">
      <c r="A45" s="3">
        <v>202437</v>
      </c>
      <c r="B45" s="5">
        <v>255.5</v>
      </c>
      <c r="C45" s="5">
        <v>5.6261100000000006</v>
      </c>
      <c r="D45" s="5">
        <f t="shared" si="2"/>
        <v>22.020000000000003</v>
      </c>
      <c r="E45" s="5">
        <v>2397.0300000000002</v>
      </c>
      <c r="F45" s="5">
        <v>53.813359999999996</v>
      </c>
      <c r="G45" s="5">
        <f t="shared" si="0"/>
        <v>22.450004407324975</v>
      </c>
      <c r="H45" s="5">
        <v>10</v>
      </c>
      <c r="I45" s="5">
        <v>1.1459000000000001</v>
      </c>
      <c r="J45" s="5">
        <f t="shared" si="3"/>
        <v>114.59000000000002</v>
      </c>
      <c r="K45" s="5">
        <v>5</v>
      </c>
      <c r="L45" s="5">
        <v>0.45945000000000008</v>
      </c>
      <c r="M45" s="8">
        <f t="shared" si="1"/>
        <v>91.890000000000015</v>
      </c>
    </row>
    <row r="46" spans="1:13" ht="20.25" customHeight="1" x14ac:dyDescent="0.2">
      <c r="A46" s="3">
        <v>202438</v>
      </c>
      <c r="B46" s="5">
        <v>14.61</v>
      </c>
      <c r="C46" s="5">
        <v>0.32171</v>
      </c>
      <c r="D46" s="5">
        <f t="shared" si="2"/>
        <v>22.019849418206711</v>
      </c>
      <c r="E46" s="5">
        <v>1815.1599999999996</v>
      </c>
      <c r="F46" s="5">
        <v>40.75034999999999</v>
      </c>
      <c r="G46" s="5">
        <f t="shared" si="0"/>
        <v>22.450000000000003</v>
      </c>
      <c r="H46" s="4" t="s">
        <v>13</v>
      </c>
      <c r="I46" s="4" t="s">
        <v>13</v>
      </c>
      <c r="J46" s="5" t="e">
        <f t="shared" si="3"/>
        <v>#VALUE!</v>
      </c>
      <c r="K46" s="5">
        <v>10</v>
      </c>
      <c r="L46" s="5">
        <v>0.91890000000000005</v>
      </c>
      <c r="M46" s="8">
        <f t="shared" si="1"/>
        <v>91.89</v>
      </c>
    </row>
    <row r="47" spans="1:13" ht="20.25" customHeight="1" x14ac:dyDescent="0.2">
      <c r="A47" s="3">
        <v>202439</v>
      </c>
      <c r="B47" s="5">
        <v>482.4</v>
      </c>
      <c r="C47" s="5">
        <v>10.622450000000001</v>
      </c>
      <c r="D47" s="5">
        <f t="shared" si="2"/>
        <v>22.020004145936984</v>
      </c>
      <c r="E47" s="5">
        <v>60</v>
      </c>
      <c r="F47" s="5">
        <v>1.347</v>
      </c>
      <c r="G47" s="5">
        <f t="shared" si="0"/>
        <v>22.640758923074454</v>
      </c>
      <c r="H47" s="4" t="s">
        <v>13</v>
      </c>
      <c r="I47" s="4" t="s">
        <v>13</v>
      </c>
      <c r="J47" s="5" t="e">
        <f t="shared" si="3"/>
        <v>#VALUE!</v>
      </c>
      <c r="K47" s="5">
        <v>1</v>
      </c>
      <c r="L47" s="5">
        <v>9.1889999999999999E-2</v>
      </c>
      <c r="M47" s="8">
        <f t="shared" si="1"/>
        <v>91.89</v>
      </c>
    </row>
    <row r="48" spans="1:13" ht="20.25" customHeight="1" x14ac:dyDescent="0.2">
      <c r="A48" s="3">
        <v>202440</v>
      </c>
      <c r="B48" s="5">
        <v>1386.99</v>
      </c>
      <c r="C48" s="5">
        <v>30.613040000000002</v>
      </c>
      <c r="D48" s="5">
        <f t="shared" si="2"/>
        <v>22.071565043727787</v>
      </c>
      <c r="E48" s="5">
        <v>1867.9099999999999</v>
      </c>
      <c r="F48" s="5">
        <v>42.290900000000001</v>
      </c>
      <c r="G48" s="5">
        <f t="shared" si="0"/>
        <v>23.522026065922955</v>
      </c>
      <c r="H48" s="5">
        <v>9</v>
      </c>
      <c r="I48" s="5">
        <v>1.0368300000000001</v>
      </c>
      <c r="J48" s="5">
        <f t="shared" si="3"/>
        <v>115.20333333333335</v>
      </c>
      <c r="K48" s="5">
        <v>8</v>
      </c>
      <c r="L48" s="5">
        <v>0.73953000000000002</v>
      </c>
      <c r="M48" s="8">
        <f t="shared" si="1"/>
        <v>92.441249999999997</v>
      </c>
    </row>
    <row r="49" spans="1:13" ht="20.25" customHeight="1" x14ac:dyDescent="0.2">
      <c r="A49" s="3">
        <v>202441</v>
      </c>
      <c r="B49" s="5">
        <v>1548.26</v>
      </c>
      <c r="C49" s="5">
        <v>35.470630000000007</v>
      </c>
      <c r="D49" s="5">
        <f t="shared" si="2"/>
        <v>22.909995737150098</v>
      </c>
      <c r="E49" s="5">
        <v>1384.95</v>
      </c>
      <c r="F49" s="5">
        <v>32.576830000000001</v>
      </c>
      <c r="G49" s="5">
        <f t="shared" si="0"/>
        <v>23.53001513702996</v>
      </c>
      <c r="H49" s="5">
        <v>3</v>
      </c>
      <c r="I49" s="5">
        <v>0.34929000000000004</v>
      </c>
      <c r="J49" s="5">
        <f t="shared" si="3"/>
        <v>116.43000000000002</v>
      </c>
      <c r="K49" s="5">
        <v>4</v>
      </c>
      <c r="L49" s="5">
        <v>0.37343999999999999</v>
      </c>
      <c r="M49" s="8">
        <f t="shared" si="1"/>
        <v>93.36</v>
      </c>
    </row>
    <row r="50" spans="1:13" ht="20.25" customHeight="1" x14ac:dyDescent="0.2">
      <c r="A50" s="3">
        <v>202442</v>
      </c>
      <c r="B50" s="5">
        <v>379.66</v>
      </c>
      <c r="C50" s="5">
        <v>8.6980199999999996</v>
      </c>
      <c r="D50" s="5">
        <f t="shared" si="2"/>
        <v>22.91002475899489</v>
      </c>
      <c r="E50" s="5">
        <v>1004.16</v>
      </c>
      <c r="F50" s="5">
        <v>23.6279</v>
      </c>
      <c r="G50" s="5">
        <f t="shared" si="0"/>
        <v>23.530000923433178</v>
      </c>
      <c r="H50" s="5">
        <v>5</v>
      </c>
      <c r="I50" s="5">
        <v>0.58215000000000006</v>
      </c>
      <c r="J50" s="5">
        <f t="shared" si="3"/>
        <v>116.43</v>
      </c>
      <c r="K50" s="5">
        <v>8</v>
      </c>
      <c r="L50" s="5">
        <v>0.74687999999999999</v>
      </c>
      <c r="M50" s="8">
        <f t="shared" si="1"/>
        <v>93.36</v>
      </c>
    </row>
    <row r="51" spans="1:13" ht="20.25" customHeight="1" x14ac:dyDescent="0.2">
      <c r="A51" s="3">
        <v>202443</v>
      </c>
      <c r="B51" s="5">
        <v>816.90000000000009</v>
      </c>
      <c r="C51" s="5">
        <v>18.71519</v>
      </c>
      <c r="D51" s="5">
        <f t="shared" si="2"/>
        <v>22.910013465540452</v>
      </c>
      <c r="E51" s="5">
        <v>1407.79</v>
      </c>
      <c r="F51" s="5">
        <v>33.125299999999996</v>
      </c>
      <c r="G51" s="5">
        <f t="shared" si="0"/>
        <v>23.5300006918295</v>
      </c>
      <c r="H51" s="5">
        <v>2</v>
      </c>
      <c r="I51" s="5">
        <v>0.23286000000000001</v>
      </c>
      <c r="J51" s="5">
        <f t="shared" si="3"/>
        <v>116.43</v>
      </c>
      <c r="K51" s="5">
        <v>5</v>
      </c>
      <c r="L51" s="5">
        <v>0.46679999999999994</v>
      </c>
      <c r="M51" s="8">
        <f t="shared" si="1"/>
        <v>93.359999999999985</v>
      </c>
    </row>
    <row r="52" spans="1:13" ht="20.25" customHeight="1" x14ac:dyDescent="0.2">
      <c r="A52" s="3">
        <v>202444</v>
      </c>
      <c r="B52" s="5">
        <v>-8.4</v>
      </c>
      <c r="C52" s="5">
        <v>-0.19244</v>
      </c>
      <c r="D52" s="5">
        <f t="shared" si="2"/>
        <v>22.909523809523812</v>
      </c>
      <c r="E52" s="5">
        <v>1011.81</v>
      </c>
      <c r="F52" s="5">
        <v>23.807890000000004</v>
      </c>
      <c r="G52" s="5">
        <f t="shared" si="0"/>
        <v>23.52999648071938</v>
      </c>
      <c r="H52" s="5">
        <v>3</v>
      </c>
      <c r="I52" s="5">
        <v>0.34929000000000004</v>
      </c>
      <c r="J52" s="5">
        <f t="shared" si="3"/>
        <v>116.43000000000002</v>
      </c>
      <c r="K52" s="5">
        <v>4</v>
      </c>
      <c r="L52" s="5">
        <v>0.37343999999999999</v>
      </c>
      <c r="M52" s="8">
        <f t="shared" si="1"/>
        <v>93.36</v>
      </c>
    </row>
    <row r="53" spans="1:13" ht="20.25" customHeight="1" x14ac:dyDescent="0.2">
      <c r="A53" s="3">
        <v>202445</v>
      </c>
      <c r="B53" s="5">
        <v>784.52</v>
      </c>
      <c r="C53" s="5">
        <v>17.935320000000001</v>
      </c>
      <c r="D53" s="5">
        <f t="shared" si="2"/>
        <v>22.861520420129509</v>
      </c>
      <c r="E53" s="5">
        <v>1392.3299999999997</v>
      </c>
      <c r="F53" s="5">
        <v>32.761520000000004</v>
      </c>
      <c r="G53" s="5">
        <f t="shared" si="0"/>
        <v>23.530004598780835</v>
      </c>
      <c r="H53" s="5">
        <v>5</v>
      </c>
      <c r="I53" s="5">
        <v>0.58215000000000006</v>
      </c>
      <c r="J53" s="5">
        <f t="shared" si="3"/>
        <v>116.43</v>
      </c>
      <c r="K53" s="5">
        <v>5</v>
      </c>
      <c r="L53" s="5">
        <v>0.46680000000000005</v>
      </c>
      <c r="M53" s="8">
        <f t="shared" si="1"/>
        <v>93.360000000000014</v>
      </c>
    </row>
    <row r="54" spans="1:13" ht="20.25" customHeight="1" x14ac:dyDescent="0.2">
      <c r="A54" s="3">
        <v>202446</v>
      </c>
      <c r="B54" s="5">
        <v>1298.6799999999998</v>
      </c>
      <c r="C54" s="5">
        <v>29.752760000000002</v>
      </c>
      <c r="D54" s="5">
        <f t="shared" si="2"/>
        <v>22.910000924015158</v>
      </c>
      <c r="E54" s="5">
        <v>2044.02</v>
      </c>
      <c r="F54" s="5">
        <v>48.095799999999997</v>
      </c>
      <c r="G54" s="5">
        <f t="shared" si="0"/>
        <v>23.530009268781981</v>
      </c>
      <c r="H54" s="5">
        <v>3</v>
      </c>
      <c r="I54" s="5">
        <v>0.34929000000000004</v>
      </c>
      <c r="J54" s="5">
        <f t="shared" si="3"/>
        <v>116.43000000000002</v>
      </c>
      <c r="K54" s="5">
        <v>6</v>
      </c>
      <c r="L54" s="5">
        <v>0.56015999999999999</v>
      </c>
      <c r="M54" s="8">
        <f t="shared" si="1"/>
        <v>93.36</v>
      </c>
    </row>
    <row r="55" spans="1:13" ht="20.25" customHeight="1" x14ac:dyDescent="0.2">
      <c r="A55" s="3">
        <v>202447</v>
      </c>
      <c r="B55" s="5">
        <v>806.75</v>
      </c>
      <c r="C55" s="5">
        <v>18.482640000000004</v>
      </c>
      <c r="D55" s="5">
        <f t="shared" si="2"/>
        <v>22.909996901146581</v>
      </c>
      <c r="E55" s="5">
        <v>2362.77</v>
      </c>
      <c r="F55" s="5">
        <v>55.595999999999997</v>
      </c>
      <c r="G55" s="5">
        <f t="shared" si="0"/>
        <v>23.514034850543965</v>
      </c>
      <c r="H55" s="5">
        <v>2</v>
      </c>
      <c r="I55" s="5">
        <v>0.23286000000000001</v>
      </c>
      <c r="J55" s="5">
        <f t="shared" si="3"/>
        <v>116.43</v>
      </c>
      <c r="K55" s="5">
        <v>6</v>
      </c>
      <c r="L55" s="5">
        <v>0.56015999999999999</v>
      </c>
      <c r="M55" s="8">
        <f t="shared" si="1"/>
        <v>93.36</v>
      </c>
    </row>
    <row r="56" spans="1:13" ht="20.25" customHeight="1" x14ac:dyDescent="0.2">
      <c r="A56" s="3">
        <v>202448</v>
      </c>
      <c r="B56" s="5">
        <v>1328.98</v>
      </c>
      <c r="C56" s="5">
        <v>30.446919999999999</v>
      </c>
      <c r="D56" s="5">
        <f t="shared" si="2"/>
        <v>22.909991121010094</v>
      </c>
      <c r="E56" s="5">
        <v>1405.4299999999998</v>
      </c>
      <c r="F56" s="5">
        <v>33.047330000000002</v>
      </c>
      <c r="G56" s="5">
        <f t="shared" si="0"/>
        <v>23.530014608382967</v>
      </c>
      <c r="H56" s="5">
        <v>6</v>
      </c>
      <c r="I56" s="5">
        <v>0.6985800000000002</v>
      </c>
      <c r="J56" s="5">
        <f t="shared" si="3"/>
        <v>116.43000000000004</v>
      </c>
      <c r="K56" s="5">
        <v>3</v>
      </c>
      <c r="L56" s="5">
        <v>0.28008</v>
      </c>
      <c r="M56" s="8">
        <f t="shared" si="1"/>
        <v>93.36</v>
      </c>
    </row>
    <row r="57" spans="1:13" ht="20.25" customHeight="1" x14ac:dyDescent="0.2">
      <c r="A57" s="3">
        <v>202449</v>
      </c>
      <c r="B57" s="5">
        <v>174.02</v>
      </c>
      <c r="C57" s="5">
        <v>3.9867999999999997</v>
      </c>
      <c r="D57" s="5">
        <f t="shared" si="2"/>
        <v>22.91001034363866</v>
      </c>
      <c r="E57" s="5">
        <v>889.9</v>
      </c>
      <c r="F57" s="5">
        <v>20.939360000000001</v>
      </c>
      <c r="G57" s="5">
        <f t="shared" si="0"/>
        <v>23.530006049606776</v>
      </c>
      <c r="H57" s="5">
        <v>1</v>
      </c>
      <c r="I57" s="5">
        <v>0.11643000000000001</v>
      </c>
      <c r="J57" s="5">
        <f t="shared" si="3"/>
        <v>116.43</v>
      </c>
      <c r="K57" s="5">
        <v>7</v>
      </c>
      <c r="L57" s="5">
        <v>0.65351999999999999</v>
      </c>
      <c r="M57" s="8">
        <f t="shared" si="1"/>
        <v>93.36</v>
      </c>
    </row>
    <row r="58" spans="1:13" ht="20.25" customHeight="1" x14ac:dyDescent="0.2">
      <c r="A58" s="3">
        <v>202450</v>
      </c>
      <c r="B58" s="5">
        <v>568.56999999999994</v>
      </c>
      <c r="C58" s="5">
        <v>13.02594</v>
      </c>
      <c r="D58" s="5">
        <f t="shared" si="2"/>
        <v>22.910002286437912</v>
      </c>
      <c r="E58" s="5">
        <v>1653</v>
      </c>
      <c r="F58" s="5">
        <v>38.895099999999999</v>
      </c>
      <c r="G58" s="5">
        <f t="shared" si="0"/>
        <v>23.529989795263003</v>
      </c>
      <c r="H58" s="5">
        <v>1</v>
      </c>
      <c r="I58" s="5">
        <v>0.11643000000000001</v>
      </c>
      <c r="J58" s="5">
        <f t="shared" si="3"/>
        <v>116.43</v>
      </c>
      <c r="K58" s="5">
        <v>6</v>
      </c>
      <c r="L58" s="5">
        <v>0.56015999999999999</v>
      </c>
      <c r="M58" s="8">
        <f t="shared" si="1"/>
        <v>93.36</v>
      </c>
    </row>
    <row r="59" spans="1:13" ht="20.25" customHeight="1" x14ac:dyDescent="0.2">
      <c r="A59" s="3">
        <v>202451</v>
      </c>
      <c r="B59" s="5">
        <v>30.5</v>
      </c>
      <c r="C59" s="5">
        <v>0.69876000000000005</v>
      </c>
      <c r="D59" s="5">
        <f t="shared" si="2"/>
        <v>22.910163934426233</v>
      </c>
      <c r="E59" s="5">
        <v>1401.3100000000002</v>
      </c>
      <c r="F59" s="5">
        <v>32.972810000000003</v>
      </c>
      <c r="G59" s="5">
        <f t="shared" si="0"/>
        <v>24.164771398813954</v>
      </c>
      <c r="H59" s="5">
        <v>2</v>
      </c>
      <c r="I59" s="5">
        <v>0.23286000000000001</v>
      </c>
      <c r="J59" s="5">
        <f t="shared" si="3"/>
        <v>116.43</v>
      </c>
      <c r="K59" s="5">
        <v>1</v>
      </c>
      <c r="L59" s="5">
        <v>9.3359999999999999E-2</v>
      </c>
      <c r="M59" s="8">
        <f t="shared" si="1"/>
        <v>93.36</v>
      </c>
    </row>
    <row r="60" spans="1:13" ht="20.25" customHeight="1" x14ac:dyDescent="0.2">
      <c r="A60" s="3">
        <v>202502</v>
      </c>
      <c r="B60" s="5">
        <v>592.28</v>
      </c>
      <c r="C60" s="5">
        <v>13.63991</v>
      </c>
      <c r="D60" s="5">
        <f t="shared" si="2"/>
        <v>23.029496184237189</v>
      </c>
      <c r="E60" s="5">
        <v>1411.4099999999999</v>
      </c>
      <c r="F60" s="5">
        <v>34.106400000000001</v>
      </c>
      <c r="G60" s="5">
        <f t="shared" si="0"/>
        <v>24.620003039975682</v>
      </c>
      <c r="H60" s="4" t="s">
        <v>13</v>
      </c>
      <c r="I60" s="4" t="s">
        <v>13</v>
      </c>
      <c r="J60" s="5" t="e">
        <f t="shared" si="3"/>
        <v>#VALUE!</v>
      </c>
      <c r="K60" s="5">
        <v>37</v>
      </c>
      <c r="L60" s="5">
        <v>3.4543199999999996</v>
      </c>
      <c r="M60" s="8">
        <f t="shared" si="1"/>
        <v>93.359999999999985</v>
      </c>
    </row>
    <row r="61" spans="1:13" ht="20.25" customHeight="1" x14ac:dyDescent="0.2">
      <c r="A61" s="3">
        <v>202503</v>
      </c>
      <c r="B61" s="5">
        <v>1097.1100000000001</v>
      </c>
      <c r="C61" s="5">
        <v>26.35258</v>
      </c>
      <c r="D61" s="5">
        <f t="shared" si="2"/>
        <v>24.019997994731611</v>
      </c>
      <c r="E61" s="5">
        <v>921.06000000000006</v>
      </c>
      <c r="F61" s="5">
        <v>22.676500000000001</v>
      </c>
      <c r="G61" s="5">
        <f t="shared" si="0"/>
        <v>24.377055012545412</v>
      </c>
      <c r="H61" s="5">
        <v>1</v>
      </c>
      <c r="I61" s="5">
        <v>0.11643000000000001</v>
      </c>
      <c r="J61" s="5">
        <f t="shared" si="3"/>
        <v>116.43</v>
      </c>
      <c r="K61" s="5">
        <v>2</v>
      </c>
      <c r="L61" s="5">
        <v>0.18672</v>
      </c>
      <c r="M61" s="8">
        <f t="shared" si="1"/>
        <v>93.36</v>
      </c>
    </row>
    <row r="62" spans="1:13" ht="20.25" customHeight="1" x14ac:dyDescent="0.2">
      <c r="A62" s="3">
        <v>202504</v>
      </c>
      <c r="B62" s="5">
        <v>45.74</v>
      </c>
      <c r="C62" s="5">
        <v>1.09867</v>
      </c>
      <c r="D62" s="5">
        <f t="shared" si="2"/>
        <v>24.019895059029295</v>
      </c>
      <c r="E62" s="5">
        <v>1602.18</v>
      </c>
      <c r="F62" s="5">
        <v>39.056430000000006</v>
      </c>
      <c r="G62" s="5">
        <f t="shared" si="0"/>
        <v>24.470741473100375</v>
      </c>
      <c r="H62" s="5">
        <v>5</v>
      </c>
      <c r="I62" s="5">
        <v>0.58215000000000006</v>
      </c>
      <c r="J62" s="5">
        <f t="shared" si="3"/>
        <v>116.43</v>
      </c>
      <c r="K62" s="5">
        <v>2</v>
      </c>
      <c r="L62" s="5">
        <v>0.18672</v>
      </c>
      <c r="M62" s="8">
        <f t="shared" si="1"/>
        <v>93.36</v>
      </c>
    </row>
    <row r="63" spans="1:13" ht="20.25" customHeight="1" x14ac:dyDescent="0.2">
      <c r="A63" s="3">
        <v>202505</v>
      </c>
      <c r="B63" s="5">
        <v>466.11999999999995</v>
      </c>
      <c r="C63" s="5">
        <v>11.151870000000001</v>
      </c>
      <c r="D63" s="5">
        <f t="shared" si="2"/>
        <v>23.924890586115168</v>
      </c>
      <c r="E63" s="5">
        <v>2437.58</v>
      </c>
      <c r="F63" s="5">
        <v>59.649390000000011</v>
      </c>
      <c r="G63" s="5">
        <f t="shared" si="0"/>
        <v>24.619989158035896</v>
      </c>
      <c r="H63" s="5">
        <v>3</v>
      </c>
      <c r="I63" s="5">
        <v>0.34929000000000004</v>
      </c>
      <c r="J63" s="5">
        <f t="shared" si="3"/>
        <v>116.43000000000002</v>
      </c>
      <c r="K63" s="5">
        <v>5</v>
      </c>
      <c r="L63" s="5">
        <v>0.46235000000000004</v>
      </c>
      <c r="M63" s="8">
        <f t="shared" si="1"/>
        <v>92.470000000000013</v>
      </c>
    </row>
    <row r="64" spans="1:13" ht="20.25" customHeight="1" x14ac:dyDescent="0.2">
      <c r="A64" s="3">
        <v>202506</v>
      </c>
      <c r="B64" s="5">
        <v>652.26</v>
      </c>
      <c r="C64" s="5">
        <v>15.667289999999999</v>
      </c>
      <c r="D64" s="5">
        <f t="shared" si="2"/>
        <v>24.020007359028607</v>
      </c>
      <c r="E64" s="5">
        <v>700.98</v>
      </c>
      <c r="F64" s="5">
        <v>17.258120000000002</v>
      </c>
      <c r="G64" s="5">
        <f t="shared" si="0"/>
        <v>24.632061315046396</v>
      </c>
      <c r="H64" s="5">
        <v>7</v>
      </c>
      <c r="I64" s="5">
        <v>0.81501000000000001</v>
      </c>
      <c r="J64" s="5">
        <f t="shared" si="3"/>
        <v>116.43</v>
      </c>
      <c r="K64" s="5">
        <v>5</v>
      </c>
      <c r="L64" s="5">
        <v>0.44454999999999995</v>
      </c>
      <c r="M64" s="8">
        <f t="shared" si="1"/>
        <v>88.909999999999982</v>
      </c>
    </row>
    <row r="65" spans="1:13" ht="20.25" customHeight="1" x14ac:dyDescent="0.2">
      <c r="A65" s="3">
        <v>202507</v>
      </c>
      <c r="B65" s="5">
        <v>136.69999999999999</v>
      </c>
      <c r="C65" s="5">
        <v>3.2835300000000003</v>
      </c>
      <c r="D65" s="5">
        <f t="shared" si="2"/>
        <v>24.01997073884419</v>
      </c>
      <c r="E65" s="5">
        <v>3718.4999999999991</v>
      </c>
      <c r="F65" s="5">
        <v>91.594319999999996</v>
      </c>
      <c r="G65" s="5">
        <f t="shared" si="0"/>
        <v>24.619999201583148</v>
      </c>
      <c r="H65" s="5">
        <v>8</v>
      </c>
      <c r="I65" s="5">
        <v>0.93144000000000005</v>
      </c>
      <c r="J65" s="5">
        <f t="shared" si="3"/>
        <v>116.43</v>
      </c>
      <c r="K65" s="5">
        <v>5</v>
      </c>
      <c r="L65" s="5">
        <v>0.44455</v>
      </c>
      <c r="M65" s="8">
        <f t="shared" si="1"/>
        <v>88.91</v>
      </c>
    </row>
    <row r="66" spans="1:13" ht="20.25" customHeight="1" x14ac:dyDescent="0.2">
      <c r="A66" s="3">
        <v>202508</v>
      </c>
      <c r="B66" s="5">
        <v>439.35999999999996</v>
      </c>
      <c r="C66" s="5">
        <v>10.50883</v>
      </c>
      <c r="D66" s="5">
        <f t="shared" si="2"/>
        <v>23.918495083758195</v>
      </c>
      <c r="E66" s="5">
        <v>1753.4699999999998</v>
      </c>
      <c r="F66" s="5">
        <v>43.170430000000003</v>
      </c>
      <c r="G66" s="5">
        <f t="shared" si="0"/>
        <v>24.619996928704055</v>
      </c>
      <c r="H66" s="5">
        <v>3</v>
      </c>
      <c r="I66" s="5">
        <v>0.34929000000000004</v>
      </c>
      <c r="J66" s="5">
        <f t="shared" si="3"/>
        <v>116.43000000000002</v>
      </c>
      <c r="K66" s="5">
        <v>5</v>
      </c>
      <c r="L66" s="5">
        <v>0.44454999999999995</v>
      </c>
      <c r="M66" s="8">
        <f t="shared" si="1"/>
        <v>88.909999999999982</v>
      </c>
    </row>
    <row r="67" spans="1:13" ht="20.25" customHeight="1" x14ac:dyDescent="0.2">
      <c r="A67" s="3">
        <v>202509</v>
      </c>
      <c r="B67" s="5">
        <v>229.43</v>
      </c>
      <c r="C67" s="5">
        <v>5.5109100000000009</v>
      </c>
      <c r="D67" s="5">
        <f t="shared" si="2"/>
        <v>24.020006102079069</v>
      </c>
      <c r="E67" s="5">
        <v>716.31</v>
      </c>
      <c r="F67" s="5">
        <v>17.635549999999999</v>
      </c>
      <c r="G67" s="5">
        <f t="shared" si="0"/>
        <v>24.620002244081231</v>
      </c>
      <c r="H67" s="5">
        <v>4</v>
      </c>
      <c r="I67" s="5">
        <v>0.46572000000000002</v>
      </c>
      <c r="J67" s="5">
        <f t="shared" si="3"/>
        <v>116.43</v>
      </c>
      <c r="K67" s="5">
        <v>1</v>
      </c>
      <c r="L67" s="5">
        <v>8.8910000000000003E-2</v>
      </c>
      <c r="M67" s="8">
        <f t="shared" si="1"/>
        <v>88.91</v>
      </c>
    </row>
    <row r="68" spans="1:13" ht="20.25" customHeight="1" x14ac:dyDescent="0.2">
      <c r="A68" s="3">
        <v>202510</v>
      </c>
      <c r="B68" s="5">
        <v>683.96999999999991</v>
      </c>
      <c r="C68" s="5">
        <v>16.428960000000004</v>
      </c>
      <c r="D68" s="5">
        <f t="shared" si="2"/>
        <v>24.020000877231464</v>
      </c>
      <c r="E68" s="5">
        <v>2406.3300000000004</v>
      </c>
      <c r="F68" s="5">
        <v>59.243850000000002</v>
      </c>
      <c r="G68" s="5">
        <f t="shared" si="0"/>
        <v>24.619994333368609</v>
      </c>
      <c r="H68" s="5">
        <v>5</v>
      </c>
      <c r="I68" s="5">
        <v>0.58215000000000006</v>
      </c>
      <c r="J68" s="5">
        <f t="shared" si="3"/>
        <v>116.43</v>
      </c>
      <c r="K68" s="5">
        <v>5</v>
      </c>
      <c r="L68" s="5">
        <v>0.44454999999999995</v>
      </c>
      <c r="M68" s="8">
        <f t="shared" si="1"/>
        <v>88.909999999999982</v>
      </c>
    </row>
    <row r="69" spans="1:13" ht="20.25" customHeight="1" x14ac:dyDescent="0.2">
      <c r="A69" s="3">
        <v>202511</v>
      </c>
      <c r="B69" s="5">
        <v>985.38</v>
      </c>
      <c r="C69" s="5">
        <v>23.624030000000001</v>
      </c>
      <c r="D69" s="5">
        <f t="shared" si="2"/>
        <v>23.974537741784896</v>
      </c>
      <c r="E69" s="5">
        <v>2929.43</v>
      </c>
      <c r="F69" s="5">
        <v>72.122550000000004</v>
      </c>
      <c r="G69" s="5">
        <f t="shared" si="0"/>
        <v>24.619996320340629</v>
      </c>
      <c r="H69" s="5">
        <v>4</v>
      </c>
      <c r="I69" s="5">
        <v>0.46572000000000002</v>
      </c>
      <c r="J69" s="5">
        <f t="shared" si="3"/>
        <v>116.43</v>
      </c>
      <c r="K69" s="5">
        <v>3</v>
      </c>
      <c r="L69" s="5">
        <v>0.26673000000000002</v>
      </c>
      <c r="M69" s="8">
        <f t="shared" si="1"/>
        <v>88.91</v>
      </c>
    </row>
    <row r="70" spans="1:13" ht="20.25" customHeight="1" x14ac:dyDescent="0.2">
      <c r="A70" s="3">
        <v>202512</v>
      </c>
      <c r="B70" s="5">
        <v>970.80000000000007</v>
      </c>
      <c r="C70" s="5">
        <v>23.318609999999996</v>
      </c>
      <c r="D70" s="5">
        <f t="shared" si="2"/>
        <v>24.019993819530278</v>
      </c>
      <c r="E70" s="5">
        <v>1521.88</v>
      </c>
      <c r="F70" s="5">
        <v>37.468679999999999</v>
      </c>
      <c r="G70" s="5">
        <f t="shared" si="0"/>
        <v>24.61996805111821</v>
      </c>
      <c r="H70" s="5">
        <v>4</v>
      </c>
      <c r="I70" s="5">
        <v>0.46572000000000002</v>
      </c>
      <c r="J70" s="5">
        <f t="shared" si="3"/>
        <v>116.43</v>
      </c>
      <c r="K70" s="5">
        <v>5</v>
      </c>
      <c r="L70" s="5">
        <v>0.44454999999999995</v>
      </c>
      <c r="M70" s="8">
        <f t="shared" si="1"/>
        <v>88.909999999999982</v>
      </c>
    </row>
    <row r="71" spans="1:13" ht="20.25" customHeight="1" x14ac:dyDescent="0.2">
      <c r="A71" s="3">
        <v>202513</v>
      </c>
      <c r="B71" s="5">
        <v>134.1</v>
      </c>
      <c r="C71" s="5">
        <v>3.2210800000000002</v>
      </c>
      <c r="D71" s="5">
        <f t="shared" si="2"/>
        <v>24.0199850857569</v>
      </c>
      <c r="E71" s="5">
        <v>62.6</v>
      </c>
      <c r="F71" s="5">
        <v>1.54121</v>
      </c>
      <c r="G71" s="5">
        <f t="shared" si="0"/>
        <v>26.462353470219934</v>
      </c>
      <c r="H71" s="5">
        <v>4</v>
      </c>
      <c r="I71" s="5">
        <v>0.46572000000000002</v>
      </c>
      <c r="J71" s="5">
        <f t="shared" si="3"/>
        <v>116.43</v>
      </c>
      <c r="K71" s="4" t="s">
        <v>13</v>
      </c>
      <c r="L71" s="4" t="s">
        <v>13</v>
      </c>
      <c r="M71" s="8" t="e">
        <f t="shared" si="1"/>
        <v>#VALUE!</v>
      </c>
    </row>
    <row r="72" spans="1:13" ht="20.25" customHeight="1" x14ac:dyDescent="0.2">
      <c r="A72" s="3">
        <v>202514</v>
      </c>
      <c r="B72" s="5">
        <v>3140.06</v>
      </c>
      <c r="C72" s="5">
        <v>80.714610000000008</v>
      </c>
      <c r="D72" s="5">
        <f t="shared" si="2"/>
        <v>25.704798634421003</v>
      </c>
      <c r="E72" s="5">
        <v>4914.5300000000007</v>
      </c>
      <c r="F72" s="5">
        <v>130.05002999999999</v>
      </c>
      <c r="G72" s="5">
        <f t="shared" si="0"/>
        <v>27.409597047062451</v>
      </c>
      <c r="H72" s="5">
        <v>17</v>
      </c>
      <c r="I72" s="5">
        <v>2.0055000000000001</v>
      </c>
      <c r="J72" s="5">
        <f t="shared" si="3"/>
        <v>117.97058823529412</v>
      </c>
      <c r="K72" s="5">
        <v>13</v>
      </c>
      <c r="L72" s="5">
        <v>1.1602699999999999</v>
      </c>
      <c r="M72" s="8">
        <f t="shared" si="1"/>
        <v>89.251538461538445</v>
      </c>
    </row>
    <row r="73" spans="1:13" ht="20.25" customHeight="1" x14ac:dyDescent="0.2">
      <c r="A73" s="3">
        <v>202515</v>
      </c>
      <c r="B73" s="5">
        <v>307.39999999999998</v>
      </c>
      <c r="C73" s="5">
        <v>8.2045200000000005</v>
      </c>
      <c r="D73" s="5">
        <f t="shared" si="2"/>
        <v>26.690045543266105</v>
      </c>
      <c r="E73" s="5">
        <v>1137.8499999999997</v>
      </c>
      <c r="F73" s="5">
        <v>31.188010000000002</v>
      </c>
      <c r="G73" s="5">
        <f t="shared" si="0"/>
        <v>27.659938837920496</v>
      </c>
      <c r="H73" s="5">
        <v>2</v>
      </c>
      <c r="I73" s="5">
        <v>0.23626</v>
      </c>
      <c r="J73" s="5">
        <f t="shared" si="3"/>
        <v>118.13</v>
      </c>
      <c r="K73" s="5">
        <v>2</v>
      </c>
      <c r="L73" s="5">
        <v>0.18136000000000002</v>
      </c>
      <c r="M73" s="8">
        <f t="shared" si="1"/>
        <v>90.68</v>
      </c>
    </row>
    <row r="74" spans="1:13" ht="20.25" customHeight="1" x14ac:dyDescent="0.2">
      <c r="A74" s="3">
        <v>202516</v>
      </c>
      <c r="B74" s="5">
        <v>21</v>
      </c>
      <c r="C74" s="5">
        <v>0.56049000000000004</v>
      </c>
      <c r="D74" s="5">
        <f t="shared" si="2"/>
        <v>26.69</v>
      </c>
      <c r="E74" s="5">
        <v>49.05</v>
      </c>
      <c r="F74" s="5">
        <v>1.3567200000000001</v>
      </c>
      <c r="G74" s="5">
        <f t="shared" ref="G74:G125" si="4">F75/E75*1000</f>
        <v>27.659997218791151</v>
      </c>
      <c r="H74" s="4" t="s">
        <v>13</v>
      </c>
      <c r="I74" s="4" t="s">
        <v>13</v>
      </c>
      <c r="J74" s="5" t="e">
        <f t="shared" si="3"/>
        <v>#VALUE!</v>
      </c>
      <c r="K74" s="4" t="s">
        <v>13</v>
      </c>
      <c r="L74" s="4" t="s">
        <v>13</v>
      </c>
      <c r="M74" s="8" t="e">
        <f t="shared" ref="M74:M125" si="5">L74/K74*1000</f>
        <v>#VALUE!</v>
      </c>
    </row>
    <row r="75" spans="1:13" ht="20.25" customHeight="1" x14ac:dyDescent="0.2">
      <c r="A75" s="3">
        <v>202517</v>
      </c>
      <c r="B75" s="5">
        <v>1113.2799999999997</v>
      </c>
      <c r="C75" s="5">
        <v>29.713460000000001</v>
      </c>
      <c r="D75" s="5">
        <f t="shared" ref="D75:D125" si="6">C75/B75*1000</f>
        <v>26.69001509054327</v>
      </c>
      <c r="E75" s="5">
        <v>1222.49</v>
      </c>
      <c r="F75" s="5">
        <v>33.814069999999994</v>
      </c>
      <c r="G75" s="5">
        <f t="shared" si="4"/>
        <v>27.618007496269488</v>
      </c>
      <c r="H75" s="5">
        <v>16</v>
      </c>
      <c r="I75" s="5">
        <v>1.89008</v>
      </c>
      <c r="J75" s="5">
        <f t="shared" si="3"/>
        <v>118.13</v>
      </c>
      <c r="K75" s="5">
        <v>3</v>
      </c>
      <c r="L75" s="5">
        <v>0.27068999999999999</v>
      </c>
      <c r="M75" s="8">
        <f t="shared" si="5"/>
        <v>90.22999999999999</v>
      </c>
    </row>
    <row r="76" spans="1:13" ht="20.25" customHeight="1" x14ac:dyDescent="0.2">
      <c r="A76" s="3">
        <v>202518</v>
      </c>
      <c r="B76" s="5">
        <v>290.03000000000003</v>
      </c>
      <c r="C76" s="5">
        <v>7.6460100000000004</v>
      </c>
      <c r="D76" s="5">
        <f t="shared" si="6"/>
        <v>26.362824535392889</v>
      </c>
      <c r="E76" s="5">
        <v>851.09000000000015</v>
      </c>
      <c r="F76" s="5">
        <v>23.505410000000001</v>
      </c>
      <c r="G76" s="5">
        <f t="shared" si="4"/>
        <v>27.190006900838949</v>
      </c>
      <c r="H76" s="5">
        <v>10</v>
      </c>
      <c r="I76" s="5">
        <v>1.1813</v>
      </c>
      <c r="J76" s="5">
        <f t="shared" si="3"/>
        <v>118.13</v>
      </c>
      <c r="K76" s="5">
        <v>6</v>
      </c>
      <c r="L76" s="5">
        <v>0.53874</v>
      </c>
      <c r="M76" s="8">
        <f t="shared" si="5"/>
        <v>89.789999999999992</v>
      </c>
    </row>
    <row r="77" spans="1:13" ht="20.25" customHeight="1" x14ac:dyDescent="0.2">
      <c r="A77" s="3">
        <v>202519</v>
      </c>
      <c r="B77" s="5">
        <v>394.60999999999996</v>
      </c>
      <c r="C77" s="5">
        <v>10.374299999999998</v>
      </c>
      <c r="D77" s="5">
        <f t="shared" si="6"/>
        <v>26.290007855857681</v>
      </c>
      <c r="E77" s="5">
        <v>1753.4099999999999</v>
      </c>
      <c r="F77" s="5">
        <v>47.675230000000013</v>
      </c>
      <c r="G77" s="5">
        <f t="shared" si="4"/>
        <v>27.165926831039783</v>
      </c>
      <c r="H77" s="5">
        <v>9</v>
      </c>
      <c r="I77" s="5">
        <v>1.0631700000000002</v>
      </c>
      <c r="J77" s="5">
        <f t="shared" si="3"/>
        <v>118.13000000000001</v>
      </c>
      <c r="K77" s="5">
        <v>14</v>
      </c>
      <c r="L77" s="5">
        <v>1.26322</v>
      </c>
      <c r="M77" s="8">
        <f t="shared" si="5"/>
        <v>90.23</v>
      </c>
    </row>
    <row r="78" spans="1:13" ht="20.25" customHeight="1" x14ac:dyDescent="0.2">
      <c r="A78" s="3">
        <v>202520</v>
      </c>
      <c r="B78" s="5">
        <v>1393.04</v>
      </c>
      <c r="C78" s="5">
        <v>36.623020000000004</v>
      </c>
      <c r="D78" s="5">
        <f t="shared" si="6"/>
        <v>26.289998851432838</v>
      </c>
      <c r="E78" s="5">
        <v>2340.6099999999997</v>
      </c>
      <c r="F78" s="5">
        <v>63.584840000000014</v>
      </c>
      <c r="G78" s="5">
        <f t="shared" si="4"/>
        <v>27.190042141407844</v>
      </c>
      <c r="H78" s="5">
        <v>23</v>
      </c>
      <c r="I78" s="5">
        <v>2.71699</v>
      </c>
      <c r="J78" s="5">
        <f t="shared" si="3"/>
        <v>118.13</v>
      </c>
      <c r="K78" s="5">
        <v>3</v>
      </c>
      <c r="L78" s="5">
        <v>0.27068999999999999</v>
      </c>
      <c r="M78" s="8">
        <f t="shared" si="5"/>
        <v>90.22999999999999</v>
      </c>
    </row>
    <row r="79" spans="1:13" ht="20.25" customHeight="1" x14ac:dyDescent="0.2">
      <c r="A79" s="3">
        <v>202521</v>
      </c>
      <c r="B79" s="5">
        <v>202.38</v>
      </c>
      <c r="C79" s="5">
        <v>5.3205799999999996</v>
      </c>
      <c r="D79" s="5">
        <f t="shared" si="6"/>
        <v>26.290048423757288</v>
      </c>
      <c r="E79" s="5">
        <v>320.34999999999997</v>
      </c>
      <c r="F79" s="5">
        <v>8.7103300000000026</v>
      </c>
      <c r="G79" s="5">
        <f t="shared" si="4"/>
        <v>27.190006844626964</v>
      </c>
      <c r="H79" s="5">
        <v>10</v>
      </c>
      <c r="I79" s="5">
        <v>1.1813</v>
      </c>
      <c r="J79" s="5">
        <f t="shared" si="3"/>
        <v>118.13</v>
      </c>
      <c r="K79" s="5">
        <v>3</v>
      </c>
      <c r="L79" s="5">
        <v>0.27068999999999999</v>
      </c>
      <c r="M79" s="8">
        <f t="shared" si="5"/>
        <v>90.22999999999999</v>
      </c>
    </row>
    <row r="80" spans="1:13" ht="20.25" customHeight="1" x14ac:dyDescent="0.2">
      <c r="A80" s="3">
        <v>202522</v>
      </c>
      <c r="B80" s="5">
        <v>1816.6000000000001</v>
      </c>
      <c r="C80" s="5">
        <v>47.758429999999997</v>
      </c>
      <c r="D80" s="5">
        <f t="shared" si="6"/>
        <v>26.290008807662662</v>
      </c>
      <c r="E80" s="5">
        <v>1607.1000000000001</v>
      </c>
      <c r="F80" s="5">
        <v>43.69706</v>
      </c>
      <c r="G80" s="5">
        <f t="shared" si="4"/>
        <v>28.945145704363579</v>
      </c>
      <c r="H80" s="5">
        <v>3</v>
      </c>
      <c r="I80" s="5">
        <v>0.35438999999999998</v>
      </c>
      <c r="J80" s="5">
        <f t="shared" si="3"/>
        <v>118.13</v>
      </c>
      <c r="K80" s="5">
        <v>5</v>
      </c>
      <c r="L80" s="5">
        <v>0.45115000000000005</v>
      </c>
      <c r="M80" s="8">
        <f t="shared" si="5"/>
        <v>90.23</v>
      </c>
    </row>
    <row r="81" spans="1:13" ht="20.25" customHeight="1" x14ac:dyDescent="0.2">
      <c r="A81" s="3">
        <v>202523</v>
      </c>
      <c r="B81" s="5">
        <v>324.73</v>
      </c>
      <c r="C81" s="5">
        <v>8.8980200000000007</v>
      </c>
      <c r="D81" s="5">
        <f t="shared" si="6"/>
        <v>27.401287223231609</v>
      </c>
      <c r="E81" s="5">
        <v>2649.2000000000003</v>
      </c>
      <c r="F81" s="5">
        <v>76.681480000000008</v>
      </c>
      <c r="G81" s="5">
        <f t="shared" si="4"/>
        <v>28.435625214045398</v>
      </c>
      <c r="H81" s="5">
        <v>11</v>
      </c>
      <c r="I81" s="5">
        <v>1.2994299999999999</v>
      </c>
      <c r="J81" s="5">
        <f t="shared" si="3"/>
        <v>118.12999999999998</v>
      </c>
      <c r="K81" s="5">
        <v>6</v>
      </c>
      <c r="L81" s="5">
        <v>0.54137999999999997</v>
      </c>
      <c r="M81" s="8">
        <f t="shared" si="5"/>
        <v>90.22999999999999</v>
      </c>
    </row>
    <row r="82" spans="1:13" ht="20.25" customHeight="1" x14ac:dyDescent="0.2">
      <c r="A82" s="3">
        <v>202524</v>
      </c>
      <c r="B82" s="5">
        <v>631.75999999999988</v>
      </c>
      <c r="C82" s="5">
        <v>17.525020000000001</v>
      </c>
      <c r="D82" s="5">
        <f t="shared" si="6"/>
        <v>27.739996201089031</v>
      </c>
      <c r="E82" s="5">
        <v>1489.17</v>
      </c>
      <c r="F82" s="5">
        <v>42.345479999999988</v>
      </c>
      <c r="G82" s="5">
        <f t="shared" si="4"/>
        <v>29.019993889613524</v>
      </c>
      <c r="H82" s="5">
        <v>11</v>
      </c>
      <c r="I82" s="5">
        <v>1.2994299999999999</v>
      </c>
      <c r="J82" s="5">
        <f t="shared" si="3"/>
        <v>118.12999999999998</v>
      </c>
      <c r="K82" s="5">
        <v>7</v>
      </c>
      <c r="L82" s="5">
        <v>0.63161</v>
      </c>
      <c r="M82" s="8">
        <f t="shared" si="5"/>
        <v>90.23</v>
      </c>
    </row>
    <row r="83" spans="1:13" ht="20.25" customHeight="1" x14ac:dyDescent="0.2">
      <c r="A83" s="3">
        <v>202525</v>
      </c>
      <c r="B83" s="5">
        <v>1497.3599999999997</v>
      </c>
      <c r="C83" s="5">
        <v>41.536760000000001</v>
      </c>
      <c r="D83" s="5">
        <f t="shared" si="6"/>
        <v>27.739995725810765</v>
      </c>
      <c r="E83" s="5">
        <v>1702.0200000000002</v>
      </c>
      <c r="F83" s="5">
        <v>49.392610000000012</v>
      </c>
      <c r="G83" s="5" t="e">
        <f t="shared" si="4"/>
        <v>#VALUE!</v>
      </c>
      <c r="H83" s="5">
        <v>18</v>
      </c>
      <c r="I83" s="5">
        <v>2.1263400000000003</v>
      </c>
      <c r="J83" s="5">
        <f t="shared" si="3"/>
        <v>118.13000000000001</v>
      </c>
      <c r="K83" s="5">
        <v>8</v>
      </c>
      <c r="L83" s="5">
        <v>0.72497</v>
      </c>
      <c r="M83" s="8">
        <f t="shared" si="5"/>
        <v>90.621250000000003</v>
      </c>
    </row>
    <row r="84" spans="1:13" ht="20.25" customHeight="1" x14ac:dyDescent="0.2">
      <c r="A84" s="3">
        <v>202526</v>
      </c>
      <c r="B84" s="5">
        <v>9.67</v>
      </c>
      <c r="C84" s="5">
        <v>0.26824999999999999</v>
      </c>
      <c r="D84" s="5">
        <f t="shared" si="6"/>
        <v>27.740434332988624</v>
      </c>
      <c r="E84" s="4" t="s">
        <v>13</v>
      </c>
      <c r="F84" s="4" t="s">
        <v>13</v>
      </c>
      <c r="G84" s="5">
        <f t="shared" si="4"/>
        <v>29.142655679887781</v>
      </c>
      <c r="H84" s="5">
        <v>3</v>
      </c>
      <c r="I84" s="5">
        <v>0.35438999999999998</v>
      </c>
      <c r="J84" s="5">
        <f t="shared" ref="J84:J125" si="7">I84/H84*1000</f>
        <v>118.13</v>
      </c>
      <c r="K84" s="4" t="s">
        <v>13</v>
      </c>
      <c r="L84" s="4" t="s">
        <v>13</v>
      </c>
      <c r="M84" s="8" t="e">
        <f t="shared" si="5"/>
        <v>#VALUE!</v>
      </c>
    </row>
    <row r="85" spans="1:13" ht="20.25" customHeight="1" x14ac:dyDescent="0.2">
      <c r="A85" s="3">
        <v>202527</v>
      </c>
      <c r="B85" s="5">
        <v>1283</v>
      </c>
      <c r="C85" s="5">
        <v>35.590400000000002</v>
      </c>
      <c r="D85" s="5">
        <f t="shared" si="6"/>
        <v>27.739984411535463</v>
      </c>
      <c r="E85" s="5">
        <v>4020.59</v>
      </c>
      <c r="F85" s="5">
        <v>117.17067000000002</v>
      </c>
      <c r="G85" s="5">
        <f t="shared" si="4"/>
        <v>29.020017650834404</v>
      </c>
      <c r="H85" s="5">
        <v>14</v>
      </c>
      <c r="I85" s="5">
        <v>1.6538200000000003</v>
      </c>
      <c r="J85" s="5">
        <f t="shared" si="7"/>
        <v>118.13000000000002</v>
      </c>
      <c r="K85" s="5">
        <v>11</v>
      </c>
      <c r="L85" s="5">
        <v>0.99253000000000013</v>
      </c>
      <c r="M85" s="8">
        <f t="shared" si="5"/>
        <v>90.230000000000018</v>
      </c>
    </row>
    <row r="86" spans="1:13" ht="20.25" customHeight="1" x14ac:dyDescent="0.2">
      <c r="A86" s="3">
        <v>202528</v>
      </c>
      <c r="B86" s="5">
        <v>162.24</v>
      </c>
      <c r="C86" s="5">
        <v>4.50054</v>
      </c>
      <c r="D86" s="5">
        <f t="shared" si="6"/>
        <v>27.740014792899405</v>
      </c>
      <c r="E86" s="5">
        <v>498.55999999999995</v>
      </c>
      <c r="F86" s="5">
        <v>14.468220000000001</v>
      </c>
      <c r="G86" s="5">
        <f t="shared" si="4"/>
        <v>28.097450651056821</v>
      </c>
      <c r="H86" s="5">
        <v>1</v>
      </c>
      <c r="I86" s="5">
        <v>0.11813</v>
      </c>
      <c r="J86" s="5">
        <f t="shared" si="7"/>
        <v>118.13</v>
      </c>
      <c r="K86" s="5">
        <v>2</v>
      </c>
      <c r="L86" s="5">
        <v>0.18046000000000001</v>
      </c>
      <c r="M86" s="8">
        <f t="shared" si="5"/>
        <v>90.23</v>
      </c>
    </row>
    <row r="87" spans="1:13" ht="20.25" customHeight="1" x14ac:dyDescent="0.2">
      <c r="A87" s="3">
        <v>202529</v>
      </c>
      <c r="B87" s="5">
        <v>805.9</v>
      </c>
      <c r="C87" s="5">
        <v>22.35567</v>
      </c>
      <c r="D87" s="5">
        <f t="shared" si="6"/>
        <v>27.740004963394963</v>
      </c>
      <c r="E87" s="5">
        <v>601.33000000000004</v>
      </c>
      <c r="F87" s="5">
        <v>16.89584</v>
      </c>
      <c r="G87" s="5">
        <f t="shared" si="4"/>
        <v>29.019976198571918</v>
      </c>
      <c r="H87" s="5">
        <v>16</v>
      </c>
      <c r="I87" s="5">
        <v>1.89008</v>
      </c>
      <c r="J87" s="5">
        <f t="shared" si="7"/>
        <v>118.13</v>
      </c>
      <c r="K87" s="5">
        <v>10</v>
      </c>
      <c r="L87" s="5">
        <v>0.90229999999999999</v>
      </c>
      <c r="M87" s="8">
        <f t="shared" si="5"/>
        <v>90.23</v>
      </c>
    </row>
    <row r="88" spans="1:13" ht="20.25" customHeight="1" x14ac:dyDescent="0.2">
      <c r="A88" s="3">
        <v>202530</v>
      </c>
      <c r="B88" s="5">
        <v>12.4</v>
      </c>
      <c r="C88" s="5">
        <v>0.34398000000000001</v>
      </c>
      <c r="D88" s="5">
        <f t="shared" si="6"/>
        <v>27.740322580645163</v>
      </c>
      <c r="E88" s="5">
        <v>352.91999999999996</v>
      </c>
      <c r="F88" s="5">
        <v>10.24173</v>
      </c>
      <c r="G88" s="5">
        <f t="shared" si="4"/>
        <v>29.019983803975869</v>
      </c>
      <c r="H88" s="5">
        <v>6</v>
      </c>
      <c r="I88" s="5">
        <v>0.70877999999999997</v>
      </c>
      <c r="J88" s="5">
        <f t="shared" si="7"/>
        <v>118.13</v>
      </c>
      <c r="K88" s="5">
        <v>4</v>
      </c>
      <c r="L88" s="5">
        <v>0.36092000000000002</v>
      </c>
      <c r="M88" s="8">
        <f t="shared" si="5"/>
        <v>90.23</v>
      </c>
    </row>
    <row r="89" spans="1:13" ht="20.25" customHeight="1" x14ac:dyDescent="0.2">
      <c r="A89" s="3">
        <v>202531</v>
      </c>
      <c r="B89" s="5">
        <v>139.75</v>
      </c>
      <c r="C89" s="5">
        <v>3.8766600000000002</v>
      </c>
      <c r="D89" s="5">
        <f t="shared" si="6"/>
        <v>27.739964221824689</v>
      </c>
      <c r="E89" s="5">
        <v>765.62</v>
      </c>
      <c r="F89" s="5">
        <v>22.218280000000004</v>
      </c>
      <c r="G89" s="5">
        <f t="shared" si="4"/>
        <v>29.020002607146477</v>
      </c>
      <c r="H89" s="5">
        <v>3</v>
      </c>
      <c r="I89" s="5">
        <v>0.35438999999999998</v>
      </c>
      <c r="J89" s="5">
        <f t="shared" si="7"/>
        <v>118.13</v>
      </c>
      <c r="K89" s="5">
        <v>2</v>
      </c>
      <c r="L89" s="5">
        <v>0.18046000000000001</v>
      </c>
      <c r="M89" s="8">
        <f t="shared" si="5"/>
        <v>90.23</v>
      </c>
    </row>
    <row r="90" spans="1:13" ht="20.25" customHeight="1" x14ac:dyDescent="0.2">
      <c r="A90" s="3">
        <v>202532</v>
      </c>
      <c r="B90" s="5">
        <v>1339.8000000000002</v>
      </c>
      <c r="C90" s="5">
        <v>37.166050000000006</v>
      </c>
      <c r="D90" s="5">
        <f t="shared" si="6"/>
        <v>27.739998507239886</v>
      </c>
      <c r="E90" s="5">
        <v>690.41</v>
      </c>
      <c r="F90" s="5">
        <v>20.035699999999999</v>
      </c>
      <c r="G90" s="5">
        <f t="shared" si="4"/>
        <v>29.019997678288128</v>
      </c>
      <c r="H90" s="5">
        <v>2</v>
      </c>
      <c r="I90" s="5">
        <v>0.23626</v>
      </c>
      <c r="J90" s="5">
        <f t="shared" si="7"/>
        <v>118.13</v>
      </c>
      <c r="K90" s="5">
        <v>3</v>
      </c>
      <c r="L90" s="5">
        <v>0.27068999999999999</v>
      </c>
      <c r="M90" s="8">
        <f t="shared" si="5"/>
        <v>90.22999999999999</v>
      </c>
    </row>
    <row r="91" spans="1:13" ht="20.25" customHeight="1" x14ac:dyDescent="0.2">
      <c r="A91" s="3">
        <v>202533</v>
      </c>
      <c r="B91" s="5">
        <v>129.28</v>
      </c>
      <c r="C91" s="5">
        <v>3.5862200000000004</v>
      </c>
      <c r="D91" s="5">
        <f t="shared" si="6"/>
        <v>27.739944306930695</v>
      </c>
      <c r="E91" s="5">
        <v>1292.1499999999999</v>
      </c>
      <c r="F91" s="5">
        <v>37.498190000000001</v>
      </c>
      <c r="G91" s="5">
        <f t="shared" si="4"/>
        <v>29.020046591466407</v>
      </c>
      <c r="H91" s="5">
        <v>3</v>
      </c>
      <c r="I91" s="5">
        <v>0.35438999999999998</v>
      </c>
      <c r="J91" s="5">
        <f t="shared" si="7"/>
        <v>118.13</v>
      </c>
      <c r="K91" s="5">
        <v>5</v>
      </c>
      <c r="L91" s="5">
        <v>0.45115</v>
      </c>
      <c r="M91" s="8">
        <f t="shared" si="5"/>
        <v>90.23</v>
      </c>
    </row>
    <row r="92" spans="1:13" ht="20.25" customHeight="1" x14ac:dyDescent="0.2">
      <c r="A92" s="3">
        <v>202534</v>
      </c>
      <c r="B92" s="5">
        <v>200.09999999999997</v>
      </c>
      <c r="C92" s="5">
        <v>5.5507799999999987</v>
      </c>
      <c r="D92" s="5">
        <f t="shared" si="6"/>
        <v>27.740029985007496</v>
      </c>
      <c r="E92" s="5">
        <v>163.11999999999998</v>
      </c>
      <c r="F92" s="5">
        <v>4.7337499999999997</v>
      </c>
      <c r="G92" s="5">
        <f t="shared" si="4"/>
        <v>29.020001965105344</v>
      </c>
      <c r="H92" s="5">
        <v>3</v>
      </c>
      <c r="I92" s="5">
        <v>0.35438999999999998</v>
      </c>
      <c r="J92" s="5">
        <f t="shared" si="7"/>
        <v>118.13</v>
      </c>
      <c r="K92" s="5">
        <v>4</v>
      </c>
      <c r="L92" s="5">
        <v>0.36092000000000002</v>
      </c>
      <c r="M92" s="8">
        <f t="shared" si="5"/>
        <v>90.23</v>
      </c>
    </row>
    <row r="93" spans="1:13" ht="20.25" customHeight="1" x14ac:dyDescent="0.2">
      <c r="A93" s="3">
        <v>202535</v>
      </c>
      <c r="B93" s="5">
        <v>723.87</v>
      </c>
      <c r="C93" s="5">
        <v>20.080159999999999</v>
      </c>
      <c r="D93" s="5">
        <f t="shared" si="6"/>
        <v>27.74000856507384</v>
      </c>
      <c r="E93" s="5">
        <v>1424.8600000000001</v>
      </c>
      <c r="F93" s="5">
        <v>41.349440000000001</v>
      </c>
      <c r="G93" s="5">
        <f t="shared" si="4"/>
        <v>29.020016592236953</v>
      </c>
      <c r="H93" s="5">
        <v>14</v>
      </c>
      <c r="I93" s="5">
        <v>1.6538200000000003</v>
      </c>
      <c r="J93" s="5">
        <f t="shared" si="7"/>
        <v>118.13000000000002</v>
      </c>
      <c r="K93" s="5">
        <v>19</v>
      </c>
      <c r="L93" s="5">
        <v>1.7143700000000002</v>
      </c>
      <c r="M93" s="8">
        <f t="shared" si="5"/>
        <v>90.23</v>
      </c>
    </row>
    <row r="94" spans="1:13" ht="20.25" customHeight="1" x14ac:dyDescent="0.2">
      <c r="A94" s="3">
        <v>202536</v>
      </c>
      <c r="B94" s="5">
        <v>231.47</v>
      </c>
      <c r="C94" s="5">
        <v>6.420980000000001</v>
      </c>
      <c r="D94" s="5">
        <f t="shared" si="6"/>
        <v>27.740009504471427</v>
      </c>
      <c r="E94" s="5">
        <v>566.53</v>
      </c>
      <c r="F94" s="5">
        <v>16.440709999999999</v>
      </c>
      <c r="G94" s="5">
        <f t="shared" si="4"/>
        <v>29.020005474134713</v>
      </c>
      <c r="H94" s="5">
        <v>6</v>
      </c>
      <c r="I94" s="5">
        <v>0.70877999999999997</v>
      </c>
      <c r="J94" s="5">
        <f t="shared" si="7"/>
        <v>118.13</v>
      </c>
      <c r="K94" s="5">
        <v>3</v>
      </c>
      <c r="L94" s="5">
        <v>0.27068999999999999</v>
      </c>
      <c r="M94" s="8">
        <f t="shared" si="5"/>
        <v>90.22999999999999</v>
      </c>
    </row>
    <row r="95" spans="1:13" ht="20.25" customHeight="1" x14ac:dyDescent="0.2">
      <c r="A95" s="3">
        <v>202537</v>
      </c>
      <c r="B95" s="5">
        <v>1056.3399999999999</v>
      </c>
      <c r="C95" s="5">
        <v>29.302880000000002</v>
      </c>
      <c r="D95" s="5">
        <f t="shared" si="6"/>
        <v>27.740007951985163</v>
      </c>
      <c r="E95" s="5">
        <v>803.78000000000009</v>
      </c>
      <c r="F95" s="5">
        <v>23.325700000000001</v>
      </c>
      <c r="G95" s="5">
        <f t="shared" si="4"/>
        <v>29.019993563124554</v>
      </c>
      <c r="H95" s="4" t="s">
        <v>13</v>
      </c>
      <c r="I95" s="4" t="s">
        <v>13</v>
      </c>
      <c r="J95" s="5" t="e">
        <f t="shared" si="7"/>
        <v>#VALUE!</v>
      </c>
      <c r="K95" s="5">
        <v>10</v>
      </c>
      <c r="L95" s="5">
        <v>0.9023000000000001</v>
      </c>
      <c r="M95" s="8">
        <f t="shared" si="5"/>
        <v>90.23</v>
      </c>
    </row>
    <row r="96" spans="1:13" ht="20.25" customHeight="1" x14ac:dyDescent="0.2">
      <c r="A96" s="3">
        <v>202538</v>
      </c>
      <c r="B96" s="5">
        <v>565.66999999999996</v>
      </c>
      <c r="C96" s="5">
        <v>15.691700000000001</v>
      </c>
      <c r="D96" s="5">
        <f t="shared" si="6"/>
        <v>27.740025102975238</v>
      </c>
      <c r="E96" s="5">
        <v>1273.9099999999999</v>
      </c>
      <c r="F96" s="5">
        <v>36.968859999999999</v>
      </c>
      <c r="G96" s="5">
        <f t="shared" si="4"/>
        <v>29.117053264604824</v>
      </c>
      <c r="H96" s="5">
        <v>7</v>
      </c>
      <c r="I96" s="5">
        <v>0.82691000000000003</v>
      </c>
      <c r="J96" s="5">
        <f t="shared" si="7"/>
        <v>118.13</v>
      </c>
      <c r="K96" s="5">
        <v>5</v>
      </c>
      <c r="L96" s="5">
        <v>0.45115000000000005</v>
      </c>
      <c r="M96" s="8">
        <f t="shared" si="5"/>
        <v>90.23</v>
      </c>
    </row>
    <row r="97" spans="1:13" ht="20.25" customHeight="1" x14ac:dyDescent="0.2">
      <c r="A97" s="3">
        <v>202539</v>
      </c>
      <c r="B97" s="5">
        <v>84.6</v>
      </c>
      <c r="C97" s="5">
        <v>2.3468000000000004</v>
      </c>
      <c r="D97" s="5">
        <f t="shared" si="6"/>
        <v>27.739952718676129</v>
      </c>
      <c r="E97" s="5">
        <v>139.67999999999998</v>
      </c>
      <c r="F97" s="5">
        <v>4.0670700000000011</v>
      </c>
      <c r="G97" s="5">
        <f t="shared" si="4"/>
        <v>29.01999072160601</v>
      </c>
      <c r="H97" s="5">
        <v>3</v>
      </c>
      <c r="I97" s="5">
        <v>0.35438999999999998</v>
      </c>
      <c r="J97" s="5">
        <f t="shared" si="7"/>
        <v>118.13</v>
      </c>
      <c r="K97" s="5">
        <v>2</v>
      </c>
      <c r="L97" s="5">
        <v>0.18046000000000001</v>
      </c>
      <c r="M97" s="8">
        <f t="shared" si="5"/>
        <v>90.23</v>
      </c>
    </row>
    <row r="98" spans="1:13" ht="20.25" customHeight="1" x14ac:dyDescent="0.2">
      <c r="A98" s="3">
        <v>202540</v>
      </c>
      <c r="B98" s="5">
        <v>929.74</v>
      </c>
      <c r="C98" s="5">
        <v>25.790989999999997</v>
      </c>
      <c r="D98" s="5">
        <f t="shared" si="6"/>
        <v>27.740002581366831</v>
      </c>
      <c r="E98" s="5">
        <v>948.43999999999994</v>
      </c>
      <c r="F98" s="5">
        <v>27.523720000000001</v>
      </c>
      <c r="G98" s="5">
        <f t="shared" si="4"/>
        <v>29.019995894066934</v>
      </c>
      <c r="H98" s="5">
        <v>7</v>
      </c>
      <c r="I98" s="5">
        <v>0.82691000000000003</v>
      </c>
      <c r="J98" s="5">
        <f t="shared" si="7"/>
        <v>118.13</v>
      </c>
      <c r="K98" s="5">
        <v>9</v>
      </c>
      <c r="L98" s="5">
        <v>0.82211000000000012</v>
      </c>
      <c r="M98" s="8">
        <f t="shared" si="5"/>
        <v>91.345555555555563</v>
      </c>
    </row>
    <row r="99" spans="1:13" ht="20.25" customHeight="1" x14ac:dyDescent="0.2">
      <c r="A99" s="3">
        <v>202541</v>
      </c>
      <c r="B99" s="5">
        <v>432.8</v>
      </c>
      <c r="C99" s="5">
        <v>12.012039999999999</v>
      </c>
      <c r="D99" s="5">
        <f t="shared" si="6"/>
        <v>27.754251386321624</v>
      </c>
      <c r="E99" s="5">
        <v>974.19999999999993</v>
      </c>
      <c r="F99" s="5">
        <v>28.271280000000004</v>
      </c>
      <c r="G99" s="5">
        <f t="shared" si="4"/>
        <v>29.020011580775911</v>
      </c>
      <c r="H99" s="5">
        <v>6</v>
      </c>
      <c r="I99" s="5">
        <v>0.72060000000000002</v>
      </c>
      <c r="J99" s="5">
        <f t="shared" si="7"/>
        <v>120.1</v>
      </c>
      <c r="K99" s="5">
        <v>3</v>
      </c>
      <c r="L99" s="5">
        <v>0.27821999999999997</v>
      </c>
      <c r="M99" s="8">
        <f t="shared" si="5"/>
        <v>92.74</v>
      </c>
    </row>
    <row r="100" spans="1:13" ht="20.25" customHeight="1" x14ac:dyDescent="0.2">
      <c r="A100" s="3">
        <v>202542</v>
      </c>
      <c r="B100" s="5">
        <v>1135.8999999999999</v>
      </c>
      <c r="C100" s="5">
        <v>31.50985</v>
      </c>
      <c r="D100" s="5">
        <f t="shared" si="6"/>
        <v>27.739985914253019</v>
      </c>
      <c r="E100" s="5">
        <v>863.5</v>
      </c>
      <c r="F100" s="5">
        <v>25.058779999999999</v>
      </c>
      <c r="G100" s="5">
        <f t="shared" si="4"/>
        <v>29.019990808823536</v>
      </c>
      <c r="H100" s="5">
        <v>7</v>
      </c>
      <c r="I100" s="5">
        <v>0.84070000000000011</v>
      </c>
      <c r="J100" s="5">
        <f t="shared" si="7"/>
        <v>120.10000000000001</v>
      </c>
      <c r="K100" s="5">
        <v>1</v>
      </c>
      <c r="L100" s="5">
        <v>9.2740000000000003E-2</v>
      </c>
      <c r="M100" s="8">
        <f t="shared" si="5"/>
        <v>92.740000000000009</v>
      </c>
    </row>
    <row r="101" spans="1:13" ht="20.25" customHeight="1" x14ac:dyDescent="0.2">
      <c r="A101" s="3">
        <v>202543</v>
      </c>
      <c r="B101" s="5">
        <v>565.22</v>
      </c>
      <c r="C101" s="5">
        <v>15.679200000000002</v>
      </c>
      <c r="D101" s="5">
        <f t="shared" si="6"/>
        <v>27.739995046176713</v>
      </c>
      <c r="E101" s="5">
        <v>478.71999999999991</v>
      </c>
      <c r="F101" s="5">
        <v>13.89245</v>
      </c>
      <c r="G101" s="5">
        <f t="shared" si="4"/>
        <v>29.020003504263521</v>
      </c>
      <c r="H101" s="5">
        <v>7</v>
      </c>
      <c r="I101" s="5">
        <v>0.8407</v>
      </c>
      <c r="J101" s="5">
        <f t="shared" si="7"/>
        <v>120.1</v>
      </c>
      <c r="K101" s="5">
        <v>5</v>
      </c>
      <c r="L101" s="5">
        <v>0.4637</v>
      </c>
      <c r="M101" s="8">
        <f t="shared" si="5"/>
        <v>92.740000000000009</v>
      </c>
    </row>
    <row r="102" spans="1:13" ht="20.25" customHeight="1" x14ac:dyDescent="0.2">
      <c r="A102" s="3">
        <v>202544</v>
      </c>
      <c r="B102" s="5">
        <v>511.78</v>
      </c>
      <c r="C102" s="5">
        <v>14.19678</v>
      </c>
      <c r="D102" s="5">
        <f t="shared" si="6"/>
        <v>27.740005471100865</v>
      </c>
      <c r="E102" s="5">
        <v>1027.32</v>
      </c>
      <c r="F102" s="5">
        <v>29.812830000000002</v>
      </c>
      <c r="G102" s="5">
        <f t="shared" si="4"/>
        <v>29.019999391375794</v>
      </c>
      <c r="H102" s="5">
        <v>6</v>
      </c>
      <c r="I102" s="5">
        <v>0.72059999999999991</v>
      </c>
      <c r="J102" s="5">
        <f t="shared" si="7"/>
        <v>120.09999999999998</v>
      </c>
      <c r="K102" s="5">
        <v>3</v>
      </c>
      <c r="L102" s="5">
        <v>0.27821999999999997</v>
      </c>
      <c r="M102" s="8">
        <f t="shared" si="5"/>
        <v>92.74</v>
      </c>
    </row>
    <row r="103" spans="1:13" ht="20.25" customHeight="1" x14ac:dyDescent="0.2">
      <c r="A103" s="3">
        <v>202545</v>
      </c>
      <c r="B103" s="5">
        <v>65.3</v>
      </c>
      <c r="C103" s="5">
        <v>1.81142</v>
      </c>
      <c r="D103" s="5">
        <f t="shared" si="6"/>
        <v>27.739969372128641</v>
      </c>
      <c r="E103" s="5">
        <v>1643.05</v>
      </c>
      <c r="F103" s="5">
        <v>47.681309999999996</v>
      </c>
      <c r="G103" s="5">
        <f t="shared" si="4"/>
        <v>29.023399399955974</v>
      </c>
      <c r="H103" s="5">
        <v>3</v>
      </c>
      <c r="I103" s="5">
        <v>0.36029999999999995</v>
      </c>
      <c r="J103" s="5">
        <f t="shared" si="7"/>
        <v>120.09999999999998</v>
      </c>
      <c r="K103" s="5">
        <v>2</v>
      </c>
      <c r="L103" s="5">
        <v>0.18548000000000001</v>
      </c>
      <c r="M103" s="8">
        <f t="shared" si="5"/>
        <v>92.740000000000009</v>
      </c>
    </row>
    <row r="104" spans="1:13" ht="20.25" customHeight="1" x14ac:dyDescent="0.2">
      <c r="A104" s="3">
        <v>202546</v>
      </c>
      <c r="B104" s="5">
        <v>95.69</v>
      </c>
      <c r="C104" s="5">
        <v>2.6544499999999998</v>
      </c>
      <c r="D104" s="5">
        <f t="shared" si="6"/>
        <v>27.740098233880236</v>
      </c>
      <c r="E104" s="5">
        <v>863.2700000000001</v>
      </c>
      <c r="F104" s="5">
        <v>25.055029999999995</v>
      </c>
      <c r="G104" s="5">
        <f t="shared" si="4"/>
        <v>29.162748043760775</v>
      </c>
      <c r="H104" s="5">
        <v>1</v>
      </c>
      <c r="I104" s="5">
        <v>0.1201</v>
      </c>
      <c r="J104" s="5">
        <f t="shared" si="7"/>
        <v>120.1</v>
      </c>
      <c r="K104" s="5">
        <v>4</v>
      </c>
      <c r="L104" s="5">
        <v>0.37096000000000001</v>
      </c>
      <c r="M104" s="8">
        <f t="shared" si="5"/>
        <v>92.740000000000009</v>
      </c>
    </row>
    <row r="105" spans="1:13" ht="20.25" customHeight="1" x14ac:dyDescent="0.2">
      <c r="A105" s="3">
        <v>202547</v>
      </c>
      <c r="B105" s="5">
        <v>611.56600000000003</v>
      </c>
      <c r="C105" s="5">
        <v>16.964839999999999</v>
      </c>
      <c r="D105" s="5">
        <f t="shared" si="6"/>
        <v>27.739998626476943</v>
      </c>
      <c r="E105" s="5">
        <v>1084.99</v>
      </c>
      <c r="F105" s="5">
        <v>31.641290000000005</v>
      </c>
      <c r="G105" s="5">
        <f t="shared" si="4"/>
        <v>29.020013180257365</v>
      </c>
      <c r="H105" s="5">
        <v>3</v>
      </c>
      <c r="I105" s="5">
        <v>0.36029999999999995</v>
      </c>
      <c r="J105" s="5">
        <f t="shared" si="7"/>
        <v>120.09999999999998</v>
      </c>
      <c r="K105" s="5">
        <v>4</v>
      </c>
      <c r="L105" s="5">
        <v>0.37096000000000001</v>
      </c>
      <c r="M105" s="8">
        <f t="shared" si="5"/>
        <v>92.740000000000009</v>
      </c>
    </row>
    <row r="106" spans="1:13" ht="20.25" customHeight="1" x14ac:dyDescent="0.2">
      <c r="A106" s="3">
        <v>202548</v>
      </c>
      <c r="B106" s="5">
        <v>34.9</v>
      </c>
      <c r="C106" s="5">
        <v>0.96812999999999994</v>
      </c>
      <c r="D106" s="5">
        <f t="shared" si="6"/>
        <v>27.740114613180516</v>
      </c>
      <c r="E106" s="5">
        <v>1153.2400000000002</v>
      </c>
      <c r="F106" s="5">
        <v>33.467040000000011</v>
      </c>
      <c r="G106" s="5">
        <f t="shared" si="4"/>
        <v>29.020015379048314</v>
      </c>
      <c r="H106" s="5">
        <v>5</v>
      </c>
      <c r="I106" s="5">
        <v>0.60050000000000003</v>
      </c>
      <c r="J106" s="5">
        <f t="shared" si="7"/>
        <v>120.10000000000001</v>
      </c>
      <c r="K106" s="5">
        <v>2</v>
      </c>
      <c r="L106" s="5">
        <v>0.18548000000000001</v>
      </c>
      <c r="M106" s="8">
        <f t="shared" si="5"/>
        <v>92.740000000000009</v>
      </c>
    </row>
    <row r="107" spans="1:13" ht="20.25" customHeight="1" x14ac:dyDescent="0.2">
      <c r="A107" s="3">
        <v>202549</v>
      </c>
      <c r="B107" s="5">
        <v>506.9</v>
      </c>
      <c r="C107" s="5">
        <v>14.06141</v>
      </c>
      <c r="D107" s="5">
        <f t="shared" si="6"/>
        <v>27.740007891102781</v>
      </c>
      <c r="E107" s="5">
        <v>884.31999999999994</v>
      </c>
      <c r="F107" s="5">
        <v>25.662980000000001</v>
      </c>
      <c r="G107" s="5">
        <f t="shared" si="4"/>
        <v>29.020089457854549</v>
      </c>
      <c r="H107" s="4" t="s">
        <v>13</v>
      </c>
      <c r="I107" s="4" t="s">
        <v>13</v>
      </c>
      <c r="J107" s="5" t="e">
        <f t="shared" si="7"/>
        <v>#VALUE!</v>
      </c>
      <c r="K107" s="4" t="s">
        <v>13</v>
      </c>
      <c r="L107" s="4" t="s">
        <v>13</v>
      </c>
      <c r="M107" s="8" t="e">
        <f t="shared" si="5"/>
        <v>#VALUE!</v>
      </c>
    </row>
    <row r="108" spans="1:13" ht="20.25" customHeight="1" x14ac:dyDescent="0.2">
      <c r="A108" s="3">
        <v>202550</v>
      </c>
      <c r="B108" s="5">
        <v>85.03</v>
      </c>
      <c r="C108" s="5">
        <v>2.35873</v>
      </c>
      <c r="D108" s="5">
        <f t="shared" si="6"/>
        <v>27.739974126778783</v>
      </c>
      <c r="E108" s="5">
        <v>259.34000000000003</v>
      </c>
      <c r="F108" s="5">
        <v>7.5260699999999998</v>
      </c>
      <c r="G108" s="5">
        <f t="shared" si="4"/>
        <v>29.019998553450019</v>
      </c>
      <c r="H108" s="5">
        <v>6</v>
      </c>
      <c r="I108" s="5">
        <v>0.72059999999999991</v>
      </c>
      <c r="J108" s="5">
        <f t="shared" si="7"/>
        <v>120.09999999999998</v>
      </c>
      <c r="K108" s="5">
        <v>3</v>
      </c>
      <c r="L108" s="5">
        <v>0.27821999999999997</v>
      </c>
      <c r="M108" s="8">
        <f t="shared" si="5"/>
        <v>92.74</v>
      </c>
    </row>
    <row r="109" spans="1:13" ht="20.25" customHeight="1" x14ac:dyDescent="0.2">
      <c r="A109" s="3">
        <v>202551</v>
      </c>
      <c r="B109" s="5">
        <v>126.97</v>
      </c>
      <c r="C109" s="5">
        <v>3.5221500000000003</v>
      </c>
      <c r="D109" s="5">
        <f t="shared" si="6"/>
        <v>27.740017326927621</v>
      </c>
      <c r="E109" s="5">
        <v>829.56000000000006</v>
      </c>
      <c r="F109" s="5">
        <v>24.073830000000001</v>
      </c>
      <c r="G109" s="5">
        <f t="shared" si="4"/>
        <v>29.020022525341009</v>
      </c>
      <c r="H109" s="4" t="s">
        <v>13</v>
      </c>
      <c r="I109" s="4" t="s">
        <v>13</v>
      </c>
      <c r="J109" s="5" t="e">
        <f t="shared" si="7"/>
        <v>#VALUE!</v>
      </c>
      <c r="K109" s="5">
        <v>1</v>
      </c>
      <c r="L109" s="5">
        <v>9.2740000000000003E-2</v>
      </c>
      <c r="M109" s="8">
        <f t="shared" si="5"/>
        <v>92.740000000000009</v>
      </c>
    </row>
    <row r="110" spans="1:13" ht="20.25" customHeight="1" x14ac:dyDescent="0.2">
      <c r="A110" s="3">
        <v>202602</v>
      </c>
      <c r="B110" s="5">
        <v>128.48000000000002</v>
      </c>
      <c r="C110" s="5">
        <v>3.5640300000000003</v>
      </c>
      <c r="D110" s="5">
        <f t="shared" si="6"/>
        <v>27.739959526774594</v>
      </c>
      <c r="E110" s="5">
        <v>319.64</v>
      </c>
      <c r="F110" s="5">
        <v>9.2759599999999995</v>
      </c>
      <c r="G110" s="5">
        <f t="shared" si="4"/>
        <v>28.711660162430128</v>
      </c>
      <c r="H110" s="5">
        <v>1</v>
      </c>
      <c r="I110" s="5">
        <v>0.1201</v>
      </c>
      <c r="J110" s="5">
        <f t="shared" si="7"/>
        <v>120.1</v>
      </c>
      <c r="K110" s="5">
        <v>3</v>
      </c>
      <c r="L110" s="5">
        <v>0.27821999999999997</v>
      </c>
      <c r="M110" s="8">
        <f t="shared" si="5"/>
        <v>92.74</v>
      </c>
    </row>
    <row r="111" spans="1:13" ht="20.25" customHeight="1" x14ac:dyDescent="0.2">
      <c r="A111" s="3">
        <v>202603</v>
      </c>
      <c r="B111" s="5">
        <v>118.8</v>
      </c>
      <c r="C111" s="5">
        <v>3.0888000000000004</v>
      </c>
      <c r="D111" s="5">
        <f t="shared" si="6"/>
        <v>26.000000000000007</v>
      </c>
      <c r="E111" s="5">
        <v>379.24</v>
      </c>
      <c r="F111" s="5">
        <v>10.888610000000002</v>
      </c>
      <c r="G111" s="5">
        <f t="shared" si="4"/>
        <v>27.750017796887686</v>
      </c>
      <c r="H111" s="5">
        <v>2</v>
      </c>
      <c r="I111" s="5">
        <v>0.2402</v>
      </c>
      <c r="J111" s="5">
        <f t="shared" si="7"/>
        <v>120.1</v>
      </c>
      <c r="K111" s="5">
        <v>2</v>
      </c>
      <c r="L111" s="5">
        <v>0.18548000000000001</v>
      </c>
      <c r="M111" s="8">
        <f t="shared" si="5"/>
        <v>92.740000000000009</v>
      </c>
    </row>
    <row r="112" spans="1:13" ht="20.25" customHeight="1" x14ac:dyDescent="0.2">
      <c r="A112" s="3">
        <v>202604</v>
      </c>
      <c r="B112" s="5">
        <v>98</v>
      </c>
      <c r="C112" s="5">
        <v>2.548</v>
      </c>
      <c r="D112" s="5">
        <f t="shared" si="6"/>
        <v>26</v>
      </c>
      <c r="E112" s="5">
        <v>702.36999999999989</v>
      </c>
      <c r="F112" s="5">
        <v>19.490780000000001</v>
      </c>
      <c r="G112" s="5">
        <f t="shared" si="4"/>
        <v>27.75003564033808</v>
      </c>
      <c r="H112" s="5">
        <v>2</v>
      </c>
      <c r="I112" s="5">
        <v>0.2402</v>
      </c>
      <c r="J112" s="5">
        <f t="shared" si="7"/>
        <v>120.1</v>
      </c>
      <c r="K112" s="5">
        <v>5</v>
      </c>
      <c r="L112" s="5">
        <v>0.4637</v>
      </c>
      <c r="M112" s="8">
        <f t="shared" si="5"/>
        <v>92.740000000000009</v>
      </c>
    </row>
    <row r="113" spans="1:13" ht="20.25" customHeight="1" x14ac:dyDescent="0.2">
      <c r="A113" s="3">
        <v>202605</v>
      </c>
      <c r="B113" s="5">
        <v>268.12</v>
      </c>
      <c r="C113" s="5">
        <v>6.9711200000000009</v>
      </c>
      <c r="D113" s="5">
        <f t="shared" si="6"/>
        <v>26.000000000000004</v>
      </c>
      <c r="E113" s="5">
        <v>1473.05</v>
      </c>
      <c r="F113" s="5">
        <v>40.877190000000006</v>
      </c>
      <c r="G113" s="5">
        <f t="shared" si="4"/>
        <v>27.773123538167127</v>
      </c>
      <c r="H113" s="5">
        <v>1</v>
      </c>
      <c r="I113" s="5">
        <v>0.1201</v>
      </c>
      <c r="J113" s="5">
        <f t="shared" si="7"/>
        <v>120.1</v>
      </c>
      <c r="K113" s="5">
        <v>2</v>
      </c>
      <c r="L113" s="5">
        <v>0.18548000000000001</v>
      </c>
      <c r="M113" s="8">
        <f t="shared" si="5"/>
        <v>92.740000000000009</v>
      </c>
    </row>
    <row r="114" spans="1:13" ht="20.25" customHeight="1" x14ac:dyDescent="0.2">
      <c r="A114" s="3">
        <v>202606</v>
      </c>
      <c r="B114" s="5">
        <v>555.09</v>
      </c>
      <c r="C114" s="5">
        <v>14.43234</v>
      </c>
      <c r="D114" s="5">
        <f t="shared" si="6"/>
        <v>26</v>
      </c>
      <c r="E114" s="5">
        <v>517.33000000000004</v>
      </c>
      <c r="F114" s="5">
        <v>14.36787</v>
      </c>
      <c r="G114" s="5">
        <f t="shared" si="4"/>
        <v>27.754839122278433</v>
      </c>
      <c r="H114" s="5">
        <v>9</v>
      </c>
      <c r="I114" s="5">
        <v>1.06802</v>
      </c>
      <c r="J114" s="5">
        <f t="shared" si="7"/>
        <v>118.66888888888887</v>
      </c>
      <c r="K114" s="5">
        <v>5</v>
      </c>
      <c r="L114" s="5">
        <v>0.45659000000000005</v>
      </c>
      <c r="M114" s="8">
        <f t="shared" si="5"/>
        <v>91.318000000000012</v>
      </c>
    </row>
    <row r="115" spans="1:13" ht="20.25" customHeight="1" x14ac:dyDescent="0.2">
      <c r="A115" s="3">
        <v>202607</v>
      </c>
      <c r="B115" s="5">
        <v>217.95</v>
      </c>
      <c r="C115" s="5">
        <v>5.6666999999999996</v>
      </c>
      <c r="D115" s="5">
        <f t="shared" si="6"/>
        <v>26</v>
      </c>
      <c r="E115" s="5">
        <v>1407.2800000000002</v>
      </c>
      <c r="F115" s="5">
        <v>39.05883</v>
      </c>
      <c r="G115" s="5">
        <f t="shared" si="4"/>
        <v>27.75826954040846</v>
      </c>
      <c r="H115" s="5">
        <v>8</v>
      </c>
      <c r="I115" s="5">
        <v>0.85775999999999997</v>
      </c>
      <c r="J115" s="5">
        <f t="shared" si="7"/>
        <v>107.22</v>
      </c>
      <c r="K115" s="5">
        <v>2</v>
      </c>
      <c r="L115" s="5">
        <v>0.18074000000000001</v>
      </c>
      <c r="M115" s="8">
        <f t="shared" si="5"/>
        <v>90.37</v>
      </c>
    </row>
    <row r="116" spans="1:13" ht="20.25" customHeight="1" x14ac:dyDescent="0.2">
      <c r="A116" s="3">
        <v>202608</v>
      </c>
      <c r="B116" s="5">
        <v>244.59</v>
      </c>
      <c r="C116" s="5">
        <v>6.3593400000000004</v>
      </c>
      <c r="D116" s="5">
        <f t="shared" si="6"/>
        <v>26.000000000000004</v>
      </c>
      <c r="E116" s="5">
        <v>708.02</v>
      </c>
      <c r="F116" s="5">
        <v>19.653409999999997</v>
      </c>
      <c r="G116" s="5">
        <f t="shared" si="4"/>
        <v>27.779986620470673</v>
      </c>
      <c r="H116" s="5">
        <v>6</v>
      </c>
      <c r="I116" s="5">
        <v>0.64332</v>
      </c>
      <c r="J116" s="5">
        <f t="shared" si="7"/>
        <v>107.22</v>
      </c>
      <c r="K116" s="5">
        <v>2</v>
      </c>
      <c r="L116" s="5">
        <v>0.18074000000000001</v>
      </c>
      <c r="M116" s="8">
        <f t="shared" si="5"/>
        <v>90.37</v>
      </c>
    </row>
    <row r="117" spans="1:13" ht="20.25" customHeight="1" x14ac:dyDescent="0.2">
      <c r="A117" s="3">
        <v>202609</v>
      </c>
      <c r="B117" s="5">
        <v>616.42999999999995</v>
      </c>
      <c r="C117" s="5">
        <v>16.027180000000001</v>
      </c>
      <c r="D117" s="5">
        <f t="shared" si="6"/>
        <v>26.000000000000007</v>
      </c>
      <c r="E117" s="5">
        <v>1001.5300000000001</v>
      </c>
      <c r="F117" s="5">
        <v>27.822489999999998</v>
      </c>
      <c r="G117" s="5">
        <f t="shared" si="4"/>
        <v>27.780003553344585</v>
      </c>
      <c r="H117" s="5">
        <v>1</v>
      </c>
      <c r="I117" s="5">
        <v>0.10722</v>
      </c>
      <c r="J117" s="5">
        <f t="shared" si="7"/>
        <v>107.22</v>
      </c>
      <c r="K117" s="4" t="s">
        <v>13</v>
      </c>
      <c r="L117" s="4" t="s">
        <v>13</v>
      </c>
      <c r="M117" s="8" t="e">
        <f t="shared" si="5"/>
        <v>#VALUE!</v>
      </c>
    </row>
    <row r="118" spans="1:13" ht="20.25" customHeight="1" x14ac:dyDescent="0.2">
      <c r="A118" s="3">
        <v>202610</v>
      </c>
      <c r="B118" s="5">
        <v>461.79</v>
      </c>
      <c r="C118" s="5">
        <v>12.006539999999999</v>
      </c>
      <c r="D118" s="5">
        <f t="shared" si="6"/>
        <v>26</v>
      </c>
      <c r="E118" s="5">
        <v>225.14</v>
      </c>
      <c r="F118" s="5">
        <v>6.2543899999999999</v>
      </c>
      <c r="G118" s="5">
        <f t="shared" si="4"/>
        <v>27.779999672983539</v>
      </c>
      <c r="H118" s="5">
        <v>5</v>
      </c>
      <c r="I118" s="5">
        <v>0.53610000000000002</v>
      </c>
      <c r="J118" s="5">
        <f t="shared" si="7"/>
        <v>107.22000000000001</v>
      </c>
      <c r="K118" s="5">
        <v>1</v>
      </c>
      <c r="L118" s="5">
        <v>9.0370000000000006E-2</v>
      </c>
      <c r="M118" s="8">
        <f t="shared" si="5"/>
        <v>90.37</v>
      </c>
    </row>
    <row r="119" spans="1:13" ht="20.25" customHeight="1" x14ac:dyDescent="0.2">
      <c r="A119" s="3">
        <v>202611</v>
      </c>
      <c r="B119" s="5">
        <v>1395.8400000000001</v>
      </c>
      <c r="C119" s="5">
        <v>36.291840000000001</v>
      </c>
      <c r="D119" s="5">
        <f t="shared" si="6"/>
        <v>26</v>
      </c>
      <c r="E119" s="5">
        <v>1223.18</v>
      </c>
      <c r="F119" s="5">
        <v>33.979940000000006</v>
      </c>
      <c r="G119" s="5">
        <f t="shared" si="4"/>
        <v>27.779995490341822</v>
      </c>
      <c r="H119" s="5">
        <v>5</v>
      </c>
      <c r="I119" s="5">
        <v>0.53610000000000002</v>
      </c>
      <c r="J119" s="5">
        <f t="shared" si="7"/>
        <v>107.22000000000001</v>
      </c>
      <c r="K119" s="5">
        <v>18</v>
      </c>
      <c r="L119" s="5">
        <v>1.62666</v>
      </c>
      <c r="M119" s="8">
        <f t="shared" si="5"/>
        <v>90.37</v>
      </c>
    </row>
    <row r="120" spans="1:13" ht="20.25" customHeight="1" x14ac:dyDescent="0.2">
      <c r="A120" s="3">
        <v>202612</v>
      </c>
      <c r="B120" s="5">
        <v>1002.8</v>
      </c>
      <c r="C120" s="5">
        <v>26.072800000000001</v>
      </c>
      <c r="D120" s="5">
        <f t="shared" si="6"/>
        <v>26.000000000000004</v>
      </c>
      <c r="E120" s="5">
        <v>1197.43</v>
      </c>
      <c r="F120" s="5">
        <v>33.264600000000009</v>
      </c>
      <c r="G120" s="5">
        <f t="shared" si="4"/>
        <v>27.844044315219829</v>
      </c>
      <c r="H120" s="5">
        <v>4</v>
      </c>
      <c r="I120" s="5">
        <v>0.42887999999999998</v>
      </c>
      <c r="J120" s="5">
        <f t="shared" si="7"/>
        <v>107.22</v>
      </c>
      <c r="K120" s="5">
        <v>4</v>
      </c>
      <c r="L120" s="5">
        <v>0.36148000000000002</v>
      </c>
      <c r="M120" s="8">
        <f t="shared" si="5"/>
        <v>90.37</v>
      </c>
    </row>
    <row r="121" spans="1:13" ht="20.25" customHeight="1" x14ac:dyDescent="0.2">
      <c r="A121" s="3">
        <v>202614</v>
      </c>
      <c r="B121" s="5">
        <v>566.29999999999995</v>
      </c>
      <c r="C121" s="5">
        <v>15.143619999999999</v>
      </c>
      <c r="D121" s="5">
        <f t="shared" si="6"/>
        <v>26.741338513155569</v>
      </c>
      <c r="E121" s="5">
        <v>1541.5020000000002</v>
      </c>
      <c r="F121" s="5">
        <v>42.92165</v>
      </c>
      <c r="G121" s="5">
        <f t="shared" si="4"/>
        <v>27.779999246250096</v>
      </c>
      <c r="H121" s="5">
        <v>1</v>
      </c>
      <c r="I121" s="5">
        <v>0.10722</v>
      </c>
      <c r="J121" s="5">
        <f t="shared" si="7"/>
        <v>107.22</v>
      </c>
      <c r="K121" s="5">
        <v>3</v>
      </c>
      <c r="L121" s="5">
        <v>0.27335000000000004</v>
      </c>
      <c r="M121" s="8">
        <f t="shared" si="5"/>
        <v>91.116666666666674</v>
      </c>
    </row>
    <row r="122" spans="1:13" ht="20.25" customHeight="1" x14ac:dyDescent="0.2">
      <c r="A122" s="3">
        <v>202615</v>
      </c>
      <c r="B122" s="5">
        <v>303.10000000000002</v>
      </c>
      <c r="C122" s="5">
        <v>7.8806000000000003</v>
      </c>
      <c r="D122" s="5">
        <f t="shared" si="6"/>
        <v>26</v>
      </c>
      <c r="E122" s="5">
        <v>530.67999999999995</v>
      </c>
      <c r="F122" s="5">
        <v>14.742290000000001</v>
      </c>
      <c r="G122" s="5">
        <f t="shared" si="4"/>
        <v>28.454922675050284</v>
      </c>
      <c r="H122" s="5">
        <v>5</v>
      </c>
      <c r="I122" s="5">
        <v>0.53610000000000002</v>
      </c>
      <c r="J122" s="5">
        <f t="shared" si="7"/>
        <v>107.22000000000001</v>
      </c>
      <c r="K122" s="5">
        <v>2</v>
      </c>
      <c r="L122" s="5">
        <v>0.18074000000000001</v>
      </c>
      <c r="M122" s="8">
        <f t="shared" si="5"/>
        <v>90.37</v>
      </c>
    </row>
    <row r="123" spans="1:13" ht="20.25" customHeight="1" x14ac:dyDescent="0.2">
      <c r="A123" s="3">
        <v>202616</v>
      </c>
      <c r="B123" s="5">
        <v>310.31</v>
      </c>
      <c r="C123" s="5">
        <v>7.6460299999999997</v>
      </c>
      <c r="D123" s="5">
        <f t="shared" si="6"/>
        <v>24.63997293029551</v>
      </c>
      <c r="E123" s="5">
        <v>865.18</v>
      </c>
      <c r="F123" s="5">
        <v>24.618630000000003</v>
      </c>
      <c r="G123" s="5">
        <f t="shared" si="4"/>
        <v>28.710015374478363</v>
      </c>
      <c r="H123" s="5">
        <v>5</v>
      </c>
      <c r="I123" s="5">
        <v>0.53610000000000002</v>
      </c>
      <c r="J123" s="5">
        <f t="shared" si="7"/>
        <v>107.22000000000001</v>
      </c>
      <c r="K123" s="5">
        <v>3</v>
      </c>
      <c r="L123" s="5">
        <v>0.27111000000000002</v>
      </c>
      <c r="M123" s="8">
        <f t="shared" si="5"/>
        <v>90.37</v>
      </c>
    </row>
    <row r="124" spans="1:13" ht="20.25" customHeight="1" x14ac:dyDescent="0.2">
      <c r="A124" s="3">
        <v>202617</v>
      </c>
      <c r="B124" s="5">
        <v>245.07</v>
      </c>
      <c r="C124" s="5">
        <v>6.0385199999999992</v>
      </c>
      <c r="D124" s="5">
        <f t="shared" si="6"/>
        <v>24.639980413759332</v>
      </c>
      <c r="E124" s="5">
        <v>455.3</v>
      </c>
      <c r="F124" s="5">
        <v>13.071669999999999</v>
      </c>
      <c r="G124" s="5">
        <f t="shared" si="4"/>
        <v>28.710006113715103</v>
      </c>
      <c r="H124" s="5">
        <v>5</v>
      </c>
      <c r="I124" s="5">
        <v>0.53610000000000002</v>
      </c>
      <c r="J124" s="5">
        <f t="shared" si="7"/>
        <v>107.22000000000001</v>
      </c>
      <c r="K124" s="5">
        <v>9</v>
      </c>
      <c r="L124" s="5">
        <v>0.81333000000000011</v>
      </c>
      <c r="M124" s="8">
        <f t="shared" si="5"/>
        <v>90.37</v>
      </c>
    </row>
    <row r="125" spans="1:13" ht="20.25" customHeight="1" x14ac:dyDescent="0.2">
      <c r="A125" s="3" t="s">
        <v>14</v>
      </c>
      <c r="B125" s="4" t="s">
        <v>13</v>
      </c>
      <c r="C125" s="4" t="s">
        <v>13</v>
      </c>
      <c r="D125" s="5" t="e">
        <f t="shared" si="6"/>
        <v>#VALUE!</v>
      </c>
      <c r="E125" s="5">
        <v>49.070000000000007</v>
      </c>
      <c r="F125" s="5">
        <v>1.4088000000000003</v>
      </c>
      <c r="G125" s="5" t="e">
        <f t="shared" si="4"/>
        <v>#DIV/0!</v>
      </c>
      <c r="H125" s="4" t="s">
        <v>13</v>
      </c>
      <c r="I125" s="4" t="s">
        <v>13</v>
      </c>
      <c r="J125" s="5" t="e">
        <f t="shared" si="7"/>
        <v>#VALUE!</v>
      </c>
      <c r="K125" s="5">
        <v>1</v>
      </c>
      <c r="L125" s="5">
        <v>9.0370000000000006E-2</v>
      </c>
      <c r="M125" s="8">
        <f t="shared" si="5"/>
        <v>90.37</v>
      </c>
    </row>
  </sheetData>
  <mergeCells count="22">
    <mergeCell ref="B7:C7"/>
    <mergeCell ref="E7:F7"/>
    <mergeCell ref="H7:I7"/>
    <mergeCell ref="K7:L7"/>
    <mergeCell ref="B1:L1"/>
    <mergeCell ref="B2:L2"/>
    <mergeCell ref="I8"/>
    <mergeCell ref="K8"/>
    <mergeCell ref="L8"/>
    <mergeCell ref="B5:D5"/>
    <mergeCell ref="E5:G5"/>
    <mergeCell ref="H5:J5"/>
    <mergeCell ref="K5:M5"/>
    <mergeCell ref="B8"/>
    <mergeCell ref="C8"/>
    <mergeCell ref="E8"/>
    <mergeCell ref="F8"/>
    <mergeCell ref="H8"/>
    <mergeCell ref="B6:C6"/>
    <mergeCell ref="E6:F6"/>
    <mergeCell ref="H6:I6"/>
    <mergeCell ref="K6:L6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Oskar Eide</cp:lastModifiedBy>
  <dcterms:created xsi:type="dcterms:W3CDTF">2026-04-29T12:32:23Z</dcterms:created>
  <dcterms:modified xsi:type="dcterms:W3CDTF">2026-04-29T12:32:23Z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14aa28-8067-4004-849a-93ab903c078e_Enabled">
    <vt:lpwstr>true</vt:lpwstr>
  </property>
  <property fmtid="{D5CDD505-2E9C-101B-9397-08002B2CF9AE}" pid="3" name="MSIP_Label_f914aa28-8067-4004-849a-93ab903c078e_SetDate">
    <vt:lpwstr>2026-04-29T12:10:37Z</vt:lpwstr>
  </property>
  <property fmtid="{D5CDD505-2E9C-101B-9397-08002B2CF9AE}" pid="4" name="MSIP_Label_f914aa28-8067-4004-849a-93ab903c078e_Method">
    <vt:lpwstr>Standard</vt:lpwstr>
  </property>
  <property fmtid="{D5CDD505-2E9C-101B-9397-08002B2CF9AE}" pid="5" name="MSIP_Label_f914aa28-8067-4004-849a-93ab903c078e_Name">
    <vt:lpwstr>f914aa28-8067-4004-849a-93ab903c078e</vt:lpwstr>
  </property>
  <property fmtid="{D5CDD505-2E9C-101B-9397-08002B2CF9AE}" pid="6" name="MSIP_Label_f914aa28-8067-4004-849a-93ab903c078e_SiteId">
    <vt:lpwstr>ae6e7baa-e1bf-4ef0-92a1-4eb28ec805c0</vt:lpwstr>
  </property>
  <property fmtid="{D5CDD505-2E9C-101B-9397-08002B2CF9AE}" pid="7" name="MSIP_Label_f914aa28-8067-4004-849a-93ab903c078e_ActionId">
    <vt:lpwstr>ef437700-7ac4-4d6e-94d5-e38fa4dc25c4</vt:lpwstr>
  </property>
  <property fmtid="{D5CDD505-2E9C-101B-9397-08002B2CF9AE}" pid="8" name="MSIP_Label_f914aa28-8067-4004-849a-93ab903c078e_ContentBits">
    <vt:lpwstr>0</vt:lpwstr>
  </property>
  <property fmtid="{D5CDD505-2E9C-101B-9397-08002B2CF9AE}" pid="9" name="MSIP_Label_f914aa28-8067-4004-849a-93ab903c078e_Tag">
    <vt:lpwstr>10, 3, 0, 1</vt:lpwstr>
  </property>
</Properties>
</file>